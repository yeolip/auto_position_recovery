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Source\recovery\estimate\"/>
    </mc:Choice>
  </mc:AlternateContent>
  <bookViews>
    <workbookView xWindow="1395" yWindow="120" windowWidth="23175" windowHeight="9165" activeTab="5"/>
  </bookViews>
  <sheets>
    <sheet name="input01_CENTER" sheetId="1" r:id="rId1"/>
    <sheet name="input02_ABS2" sheetId="2" r:id="rId2"/>
    <sheet name="answer" sheetId="5" r:id="rId3"/>
    <sheet name="compare" sheetId="4" r:id="rId4"/>
    <sheet name="Deviation" sheetId="6" r:id="rId5"/>
    <sheet name="Sheet1" sheetId="7" r:id="rId6"/>
  </sheets>
  <definedNames>
    <definedName name="_xlnm._FilterDatabase" localSheetId="2" hidden="1">answer!$A$1:$F$730</definedName>
    <definedName name="_xlnm._FilterDatabase" localSheetId="0" hidden="1">input01_CENTER!$A$1:$J$277</definedName>
    <definedName name="_xlnm._FilterDatabase" localSheetId="1" hidden="1">input02_ABS2!$A$1:$J$277</definedName>
    <definedName name="_xlnm._FilterDatabase" localSheetId="5" hidden="1">Sheet1!$B$1:$B$397</definedName>
  </definedNames>
  <calcPr calcId="152511"/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2" i="7"/>
  <c r="H7" i="6" l="1"/>
  <c r="H6" i="6"/>
  <c r="H5" i="6"/>
  <c r="H4" i="6"/>
  <c r="H3" i="6"/>
  <c r="G7" i="6"/>
  <c r="G6" i="6"/>
  <c r="G5" i="6"/>
  <c r="G4" i="6"/>
  <c r="G3" i="6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9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121" i="4"/>
  <c r="AC122" i="4"/>
  <c r="AC123" i="4"/>
  <c r="AC124" i="4"/>
  <c r="AC125" i="4"/>
  <c r="AC126" i="4"/>
  <c r="AC127" i="4"/>
  <c r="AC128" i="4"/>
  <c r="AC129" i="4"/>
  <c r="AC130" i="4"/>
  <c r="AC131" i="4"/>
  <c r="AC132" i="4"/>
  <c r="AC133" i="4"/>
  <c r="AC134" i="4"/>
  <c r="AC135" i="4"/>
  <c r="AC136" i="4"/>
  <c r="AC137" i="4"/>
  <c r="AC138" i="4"/>
  <c r="AC139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7" i="4"/>
  <c r="AC168" i="4"/>
  <c r="AC169" i="4"/>
  <c r="AC170" i="4"/>
  <c r="AC171" i="4"/>
  <c r="AC172" i="4"/>
  <c r="AC173" i="4"/>
  <c r="AC174" i="4"/>
  <c r="AC175" i="4"/>
  <c r="AC177" i="4"/>
  <c r="AC178" i="4"/>
  <c r="AC179" i="4"/>
  <c r="AC180" i="4"/>
  <c r="AC181" i="4"/>
  <c r="AC182" i="4"/>
  <c r="AC183" i="4"/>
  <c r="AC184" i="4"/>
  <c r="AC185" i="4"/>
  <c r="AC190" i="4"/>
  <c r="AC191" i="4"/>
  <c r="AC192" i="4"/>
  <c r="AC193" i="4"/>
  <c r="AC194" i="4"/>
  <c r="AC195" i="4"/>
  <c r="AC196" i="4"/>
  <c r="AC197" i="4"/>
  <c r="AC198" i="4"/>
  <c r="AC200" i="4"/>
  <c r="AC201" i="4"/>
  <c r="AC202" i="4"/>
  <c r="AC203" i="4"/>
  <c r="AC204" i="4"/>
  <c r="AC205" i="4"/>
  <c r="AC206" i="4"/>
  <c r="AC207" i="4"/>
  <c r="AC208" i="4"/>
  <c r="AC213" i="4"/>
  <c r="AC214" i="4"/>
  <c r="AC215" i="4"/>
  <c r="AC216" i="4"/>
  <c r="AC217" i="4"/>
  <c r="AC219" i="4"/>
  <c r="AC220" i="4"/>
  <c r="AC221" i="4"/>
  <c r="AC222" i="4"/>
  <c r="AC224" i="4"/>
  <c r="AC225" i="4"/>
  <c r="AC226" i="4"/>
  <c r="AC227" i="4"/>
  <c r="AC228" i="4"/>
  <c r="AC230" i="4"/>
  <c r="AC231" i="4"/>
  <c r="AC236" i="4"/>
  <c r="AC237" i="4"/>
  <c r="AC238" i="4"/>
  <c r="AC239" i="4"/>
  <c r="AC240" i="4"/>
  <c r="AC241" i="4"/>
  <c r="AC242" i="4"/>
  <c r="AC243" i="4"/>
  <c r="AC244" i="4"/>
  <c r="AC245" i="4"/>
  <c r="AC246" i="4"/>
  <c r="AC247" i="4"/>
  <c r="AC248" i="4"/>
  <c r="AC249" i="4"/>
  <c r="AC250" i="4"/>
  <c r="AC251" i="4"/>
  <c r="AC252" i="4"/>
  <c r="AC253" i="4"/>
  <c r="AC254" i="4"/>
  <c r="AC259" i="4"/>
  <c r="AC260" i="4"/>
  <c r="AC261" i="4"/>
  <c r="AC262" i="4"/>
  <c r="AC263" i="4"/>
  <c r="AC264" i="4"/>
  <c r="AC265" i="4"/>
  <c r="AC266" i="4"/>
  <c r="AC267" i="4"/>
  <c r="AC268" i="4"/>
  <c r="AC269" i="4"/>
  <c r="AC270" i="4"/>
  <c r="AC271" i="4"/>
  <c r="AC272" i="4"/>
  <c r="AC273" i="4"/>
  <c r="AC274" i="4"/>
  <c r="AC275" i="4"/>
  <c r="AC276" i="4"/>
  <c r="AC277" i="4"/>
  <c r="AC6" i="4"/>
  <c r="AC7" i="4"/>
  <c r="AC8" i="4"/>
  <c r="AC9" i="4"/>
  <c r="AC10" i="4"/>
  <c r="AC11" i="4"/>
  <c r="Z6" i="4"/>
  <c r="AA6" i="4"/>
  <c r="AB6" i="4"/>
  <c r="Z7" i="4"/>
  <c r="AA7" i="4"/>
  <c r="AB7" i="4"/>
  <c r="Z8" i="4"/>
  <c r="AA8" i="4"/>
  <c r="AB8" i="4"/>
  <c r="Z9" i="4"/>
  <c r="AA9" i="4"/>
  <c r="AB9" i="4"/>
  <c r="Z10" i="4"/>
  <c r="AA10" i="4"/>
  <c r="AB10" i="4"/>
  <c r="Z11" i="4"/>
  <c r="AA11" i="4"/>
  <c r="AB11" i="4"/>
  <c r="Z12" i="4"/>
  <c r="AA12" i="4"/>
  <c r="AB12" i="4"/>
  <c r="Z13" i="4"/>
  <c r="AA13" i="4"/>
  <c r="AB13" i="4"/>
  <c r="Z14" i="4"/>
  <c r="AA14" i="4"/>
  <c r="AB14" i="4"/>
  <c r="Z15" i="4"/>
  <c r="AA15" i="4"/>
  <c r="AB15" i="4"/>
  <c r="Z16" i="4"/>
  <c r="AA16" i="4"/>
  <c r="AB16" i="4"/>
  <c r="Z17" i="4"/>
  <c r="AA17" i="4"/>
  <c r="AB17" i="4"/>
  <c r="Z18" i="4"/>
  <c r="AA18" i="4"/>
  <c r="AB18" i="4"/>
  <c r="Z19" i="4"/>
  <c r="AA19" i="4"/>
  <c r="AB19" i="4"/>
  <c r="Z20" i="4"/>
  <c r="AA20" i="4"/>
  <c r="AB20" i="4"/>
  <c r="Z21" i="4"/>
  <c r="AA21" i="4"/>
  <c r="AB21" i="4"/>
  <c r="Z22" i="4"/>
  <c r="AA22" i="4"/>
  <c r="AB22" i="4"/>
  <c r="Z23" i="4"/>
  <c r="AA23" i="4"/>
  <c r="AB23" i="4"/>
  <c r="Z24" i="4"/>
  <c r="AA24" i="4"/>
  <c r="AB24" i="4"/>
  <c r="Z29" i="4"/>
  <c r="AA29" i="4"/>
  <c r="AB29" i="4"/>
  <c r="Z31" i="4"/>
  <c r="AA31" i="4"/>
  <c r="AB31" i="4"/>
  <c r="Z32" i="4"/>
  <c r="AA32" i="4"/>
  <c r="AB32" i="4"/>
  <c r="Z33" i="4"/>
  <c r="AA33" i="4"/>
  <c r="AB33" i="4"/>
  <c r="Z34" i="4"/>
  <c r="AA34" i="4"/>
  <c r="AB34" i="4"/>
  <c r="Z35" i="4"/>
  <c r="AA35" i="4"/>
  <c r="AB35" i="4"/>
  <c r="Z36" i="4"/>
  <c r="AA36" i="4"/>
  <c r="AB36" i="4"/>
  <c r="Z37" i="4"/>
  <c r="AA37" i="4"/>
  <c r="AB37" i="4"/>
  <c r="Z38" i="4"/>
  <c r="AA38" i="4"/>
  <c r="AB38" i="4"/>
  <c r="Z39" i="4"/>
  <c r="AA39" i="4"/>
  <c r="AB39" i="4"/>
  <c r="Z40" i="4"/>
  <c r="AA40" i="4"/>
  <c r="AB40" i="4"/>
  <c r="Z41" i="4"/>
  <c r="AA41" i="4"/>
  <c r="AB41" i="4"/>
  <c r="Z42" i="4"/>
  <c r="AA42" i="4"/>
  <c r="AB42" i="4"/>
  <c r="Z43" i="4"/>
  <c r="AA43" i="4"/>
  <c r="AB43" i="4"/>
  <c r="Z44" i="4"/>
  <c r="AA44" i="4"/>
  <c r="AB44" i="4"/>
  <c r="Z45" i="4"/>
  <c r="AA45" i="4"/>
  <c r="AB45" i="4"/>
  <c r="Z46" i="4"/>
  <c r="AA46" i="4"/>
  <c r="AB46" i="4"/>
  <c r="Z47" i="4"/>
  <c r="AA47" i="4"/>
  <c r="AB47" i="4"/>
  <c r="Z52" i="4"/>
  <c r="AA52" i="4"/>
  <c r="AB52" i="4"/>
  <c r="Z53" i="4"/>
  <c r="AA53" i="4"/>
  <c r="AB53" i="4"/>
  <c r="Z54" i="4"/>
  <c r="AA54" i="4"/>
  <c r="AB54" i="4"/>
  <c r="Z55" i="4"/>
  <c r="AA55" i="4"/>
  <c r="AB55" i="4"/>
  <c r="Z56" i="4"/>
  <c r="AA56" i="4"/>
  <c r="AB56" i="4"/>
  <c r="Z57" i="4"/>
  <c r="AA57" i="4"/>
  <c r="AB57" i="4"/>
  <c r="Z58" i="4"/>
  <c r="AA58" i="4"/>
  <c r="AB58" i="4"/>
  <c r="Z59" i="4"/>
  <c r="AA59" i="4"/>
  <c r="AB59" i="4"/>
  <c r="Z60" i="4"/>
  <c r="AA60" i="4"/>
  <c r="AB60" i="4"/>
  <c r="Z61" i="4"/>
  <c r="AA61" i="4"/>
  <c r="AB61" i="4"/>
  <c r="Z62" i="4"/>
  <c r="AA62" i="4"/>
  <c r="AB62" i="4"/>
  <c r="Z63" i="4"/>
  <c r="AA63" i="4"/>
  <c r="AB63" i="4"/>
  <c r="Z64" i="4"/>
  <c r="AA64" i="4"/>
  <c r="AB64" i="4"/>
  <c r="Z65" i="4"/>
  <c r="AA65" i="4"/>
  <c r="AB65" i="4"/>
  <c r="Z66" i="4"/>
  <c r="AA66" i="4"/>
  <c r="AB66" i="4"/>
  <c r="Z67" i="4"/>
  <c r="AA67" i="4"/>
  <c r="AB67" i="4"/>
  <c r="Z68" i="4"/>
  <c r="AA68" i="4"/>
  <c r="AB68" i="4"/>
  <c r="Z69" i="4"/>
  <c r="AA69" i="4"/>
  <c r="AB69" i="4"/>
  <c r="Z70" i="4"/>
  <c r="AA70" i="4"/>
  <c r="AB70" i="4"/>
  <c r="Z75" i="4"/>
  <c r="AA75" i="4"/>
  <c r="AB75" i="4"/>
  <c r="Z76" i="4"/>
  <c r="AA76" i="4"/>
  <c r="AB76" i="4"/>
  <c r="Z77" i="4"/>
  <c r="AA77" i="4"/>
  <c r="AB77" i="4"/>
  <c r="Z78" i="4"/>
  <c r="AA78" i="4"/>
  <c r="AB78" i="4"/>
  <c r="Z79" i="4"/>
  <c r="AA79" i="4"/>
  <c r="AB79" i="4"/>
  <c r="Z80" i="4"/>
  <c r="AA80" i="4"/>
  <c r="AB80" i="4"/>
  <c r="Z81" i="4"/>
  <c r="AA81" i="4"/>
  <c r="AB81" i="4"/>
  <c r="Z82" i="4"/>
  <c r="AA82" i="4"/>
  <c r="AB82" i="4"/>
  <c r="Z83" i="4"/>
  <c r="AA83" i="4"/>
  <c r="AB83" i="4"/>
  <c r="Z84" i="4"/>
  <c r="AA84" i="4"/>
  <c r="AB84" i="4"/>
  <c r="Z85" i="4"/>
  <c r="AA85" i="4"/>
  <c r="AB85" i="4"/>
  <c r="Z86" i="4"/>
  <c r="AA86" i="4"/>
  <c r="AB86" i="4"/>
  <c r="Z87" i="4"/>
  <c r="AA87" i="4"/>
  <c r="AB87" i="4"/>
  <c r="Z88" i="4"/>
  <c r="AA88" i="4"/>
  <c r="AB88" i="4"/>
  <c r="Z89" i="4"/>
  <c r="AA89" i="4"/>
  <c r="AB89" i="4"/>
  <c r="Z90" i="4"/>
  <c r="AA90" i="4"/>
  <c r="AB90" i="4"/>
  <c r="Z91" i="4"/>
  <c r="AA91" i="4"/>
  <c r="AB91" i="4"/>
  <c r="Z92" i="4"/>
  <c r="AA92" i="4"/>
  <c r="AB92" i="4"/>
  <c r="Z93" i="4"/>
  <c r="AA93" i="4"/>
  <c r="AB93" i="4"/>
  <c r="Z121" i="4"/>
  <c r="AA121" i="4"/>
  <c r="AB121" i="4"/>
  <c r="Z122" i="4"/>
  <c r="AA122" i="4"/>
  <c r="AB122" i="4"/>
  <c r="Z123" i="4"/>
  <c r="AA123" i="4"/>
  <c r="AB123" i="4"/>
  <c r="Z124" i="4"/>
  <c r="AA124" i="4"/>
  <c r="AB124" i="4"/>
  <c r="Z125" i="4"/>
  <c r="AA125" i="4"/>
  <c r="AB125" i="4"/>
  <c r="Z126" i="4"/>
  <c r="AA126" i="4"/>
  <c r="AB126" i="4"/>
  <c r="Z127" i="4"/>
  <c r="AA127" i="4"/>
  <c r="AB127" i="4"/>
  <c r="Z128" i="4"/>
  <c r="AA128" i="4"/>
  <c r="AB128" i="4"/>
  <c r="Z129" i="4"/>
  <c r="AA129" i="4"/>
  <c r="AB129" i="4"/>
  <c r="Z130" i="4"/>
  <c r="AA130" i="4"/>
  <c r="AB130" i="4"/>
  <c r="Z131" i="4"/>
  <c r="AA131" i="4"/>
  <c r="AB131" i="4"/>
  <c r="Z132" i="4"/>
  <c r="AA132" i="4"/>
  <c r="AB132" i="4"/>
  <c r="Z133" i="4"/>
  <c r="AA133" i="4"/>
  <c r="AB133" i="4"/>
  <c r="Z134" i="4"/>
  <c r="AA134" i="4"/>
  <c r="AB134" i="4"/>
  <c r="Z135" i="4"/>
  <c r="AA135" i="4"/>
  <c r="AB135" i="4"/>
  <c r="Z136" i="4"/>
  <c r="AA136" i="4"/>
  <c r="AB136" i="4"/>
  <c r="Z137" i="4"/>
  <c r="AA137" i="4"/>
  <c r="AB137" i="4"/>
  <c r="Z138" i="4"/>
  <c r="AA138" i="4"/>
  <c r="AB138" i="4"/>
  <c r="Z139" i="4"/>
  <c r="AA139" i="4"/>
  <c r="AB139" i="4"/>
  <c r="Z144" i="4"/>
  <c r="AA144" i="4"/>
  <c r="AB144" i="4"/>
  <c r="Z145" i="4"/>
  <c r="AA145" i="4"/>
  <c r="AB145" i="4"/>
  <c r="Z146" i="4"/>
  <c r="AA146" i="4"/>
  <c r="AB146" i="4"/>
  <c r="Z147" i="4"/>
  <c r="AA147" i="4"/>
  <c r="AB147" i="4"/>
  <c r="Z148" i="4"/>
  <c r="AA148" i="4"/>
  <c r="AB148" i="4"/>
  <c r="Z149" i="4"/>
  <c r="AA149" i="4"/>
  <c r="AB149" i="4"/>
  <c r="Z150" i="4"/>
  <c r="AA150" i="4"/>
  <c r="AB150" i="4"/>
  <c r="Z151" i="4"/>
  <c r="AA151" i="4"/>
  <c r="AB151" i="4"/>
  <c r="Z152" i="4"/>
  <c r="AA152" i="4"/>
  <c r="AB152" i="4"/>
  <c r="Z153" i="4"/>
  <c r="AA153" i="4"/>
  <c r="AB153" i="4"/>
  <c r="Z154" i="4"/>
  <c r="AA154" i="4"/>
  <c r="AB154" i="4"/>
  <c r="Z155" i="4"/>
  <c r="AA155" i="4"/>
  <c r="AB155" i="4"/>
  <c r="Z156" i="4"/>
  <c r="AA156" i="4"/>
  <c r="AB156" i="4"/>
  <c r="Z157" i="4"/>
  <c r="AA157" i="4"/>
  <c r="AB157" i="4"/>
  <c r="Z158" i="4"/>
  <c r="AA158" i="4"/>
  <c r="AB158" i="4"/>
  <c r="Z159" i="4"/>
  <c r="AA159" i="4"/>
  <c r="AB159" i="4"/>
  <c r="Z160" i="4"/>
  <c r="AA160" i="4"/>
  <c r="AB160" i="4"/>
  <c r="Z161" i="4"/>
  <c r="AA161" i="4"/>
  <c r="AB161" i="4"/>
  <c r="Z162" i="4"/>
  <c r="AA162" i="4"/>
  <c r="AB162" i="4"/>
  <c r="Z167" i="4"/>
  <c r="AA167" i="4"/>
  <c r="AB167" i="4"/>
  <c r="Z168" i="4"/>
  <c r="AA168" i="4"/>
  <c r="AB168" i="4"/>
  <c r="Z169" i="4"/>
  <c r="AA169" i="4"/>
  <c r="AB169" i="4"/>
  <c r="Z170" i="4"/>
  <c r="AA170" i="4"/>
  <c r="AB170" i="4"/>
  <c r="Z171" i="4"/>
  <c r="AA171" i="4"/>
  <c r="AB171" i="4"/>
  <c r="Z172" i="4"/>
  <c r="AA172" i="4"/>
  <c r="AB172" i="4"/>
  <c r="Z173" i="4"/>
  <c r="AA173" i="4"/>
  <c r="AB173" i="4"/>
  <c r="Z174" i="4"/>
  <c r="AA174" i="4"/>
  <c r="AB174" i="4"/>
  <c r="Z175" i="4"/>
  <c r="AA175" i="4"/>
  <c r="AB175" i="4"/>
  <c r="Z177" i="4"/>
  <c r="AA177" i="4"/>
  <c r="AB177" i="4"/>
  <c r="Z178" i="4"/>
  <c r="AA178" i="4"/>
  <c r="AB178" i="4"/>
  <c r="Z179" i="4"/>
  <c r="AA179" i="4"/>
  <c r="AB179" i="4"/>
  <c r="Z180" i="4"/>
  <c r="AA180" i="4"/>
  <c r="AB180" i="4"/>
  <c r="Z181" i="4"/>
  <c r="AA181" i="4"/>
  <c r="AB181" i="4"/>
  <c r="Z182" i="4"/>
  <c r="AA182" i="4"/>
  <c r="AB182" i="4"/>
  <c r="Z183" i="4"/>
  <c r="AA183" i="4"/>
  <c r="AB183" i="4"/>
  <c r="Z184" i="4"/>
  <c r="AA184" i="4"/>
  <c r="AB184" i="4"/>
  <c r="Z185" i="4"/>
  <c r="AA185" i="4"/>
  <c r="AB185" i="4"/>
  <c r="Z190" i="4"/>
  <c r="AA190" i="4"/>
  <c r="AB190" i="4"/>
  <c r="Z191" i="4"/>
  <c r="AA191" i="4"/>
  <c r="AB191" i="4"/>
  <c r="Z192" i="4"/>
  <c r="AA192" i="4"/>
  <c r="AB192" i="4"/>
  <c r="Z193" i="4"/>
  <c r="AA193" i="4"/>
  <c r="AB193" i="4"/>
  <c r="Z194" i="4"/>
  <c r="AA194" i="4"/>
  <c r="AB194" i="4"/>
  <c r="Z195" i="4"/>
  <c r="AA195" i="4"/>
  <c r="AB195" i="4"/>
  <c r="Z196" i="4"/>
  <c r="AA196" i="4"/>
  <c r="AB196" i="4"/>
  <c r="Z197" i="4"/>
  <c r="AA197" i="4"/>
  <c r="AB197" i="4"/>
  <c r="Z198" i="4"/>
  <c r="AA198" i="4"/>
  <c r="AB198" i="4"/>
  <c r="Z200" i="4"/>
  <c r="AA200" i="4"/>
  <c r="AB200" i="4"/>
  <c r="Z201" i="4"/>
  <c r="AA201" i="4"/>
  <c r="AB201" i="4"/>
  <c r="Z202" i="4"/>
  <c r="AA202" i="4"/>
  <c r="AB202" i="4"/>
  <c r="Z203" i="4"/>
  <c r="AA203" i="4"/>
  <c r="AB203" i="4"/>
  <c r="Z204" i="4"/>
  <c r="AA204" i="4"/>
  <c r="AB204" i="4"/>
  <c r="Z205" i="4"/>
  <c r="AA205" i="4"/>
  <c r="AB205" i="4"/>
  <c r="Z206" i="4"/>
  <c r="AA206" i="4"/>
  <c r="AB206" i="4"/>
  <c r="Z207" i="4"/>
  <c r="AA207" i="4"/>
  <c r="AB207" i="4"/>
  <c r="Z208" i="4"/>
  <c r="AA208" i="4"/>
  <c r="AB208" i="4"/>
  <c r="Z213" i="4"/>
  <c r="AA213" i="4"/>
  <c r="AB213" i="4"/>
  <c r="Z214" i="4"/>
  <c r="AA214" i="4"/>
  <c r="AB214" i="4"/>
  <c r="Z215" i="4"/>
  <c r="AA215" i="4"/>
  <c r="AB215" i="4"/>
  <c r="Z216" i="4"/>
  <c r="AA216" i="4"/>
  <c r="AB216" i="4"/>
  <c r="Z217" i="4"/>
  <c r="AA217" i="4"/>
  <c r="AB217" i="4"/>
  <c r="Z219" i="4"/>
  <c r="AA219" i="4"/>
  <c r="AB219" i="4"/>
  <c r="Z220" i="4"/>
  <c r="AA220" i="4"/>
  <c r="AB220" i="4"/>
  <c r="Z221" i="4"/>
  <c r="AA221" i="4"/>
  <c r="AB221" i="4"/>
  <c r="Z222" i="4"/>
  <c r="AA222" i="4"/>
  <c r="AB222" i="4"/>
  <c r="Z224" i="4"/>
  <c r="AA224" i="4"/>
  <c r="AB224" i="4"/>
  <c r="Z225" i="4"/>
  <c r="AA225" i="4"/>
  <c r="AB225" i="4"/>
  <c r="Z226" i="4"/>
  <c r="AA226" i="4"/>
  <c r="AB226" i="4"/>
  <c r="Z227" i="4"/>
  <c r="AA227" i="4"/>
  <c r="AB227" i="4"/>
  <c r="Z228" i="4"/>
  <c r="AA228" i="4"/>
  <c r="AB228" i="4"/>
  <c r="Z230" i="4"/>
  <c r="AA230" i="4"/>
  <c r="AB230" i="4"/>
  <c r="Z231" i="4"/>
  <c r="AA231" i="4"/>
  <c r="AB231" i="4"/>
  <c r="Z236" i="4"/>
  <c r="AA236" i="4"/>
  <c r="AB236" i="4"/>
  <c r="Z237" i="4"/>
  <c r="AA237" i="4"/>
  <c r="AB237" i="4"/>
  <c r="Z238" i="4"/>
  <c r="AA238" i="4"/>
  <c r="AB238" i="4"/>
  <c r="Z239" i="4"/>
  <c r="AA239" i="4"/>
  <c r="AB239" i="4"/>
  <c r="Z240" i="4"/>
  <c r="AA240" i="4"/>
  <c r="AB240" i="4"/>
  <c r="Z241" i="4"/>
  <c r="AA241" i="4"/>
  <c r="AB241" i="4"/>
  <c r="Z242" i="4"/>
  <c r="AA242" i="4"/>
  <c r="AB242" i="4"/>
  <c r="Z243" i="4"/>
  <c r="AA243" i="4"/>
  <c r="AB243" i="4"/>
  <c r="Z244" i="4"/>
  <c r="AA244" i="4"/>
  <c r="AB244" i="4"/>
  <c r="Z245" i="4"/>
  <c r="AA245" i="4"/>
  <c r="AB245" i="4"/>
  <c r="Z246" i="4"/>
  <c r="AA246" i="4"/>
  <c r="AB246" i="4"/>
  <c r="Z247" i="4"/>
  <c r="AA247" i="4"/>
  <c r="AB247" i="4"/>
  <c r="Z248" i="4"/>
  <c r="AA248" i="4"/>
  <c r="AB248" i="4"/>
  <c r="Z249" i="4"/>
  <c r="AA249" i="4"/>
  <c r="AB249" i="4"/>
  <c r="Z250" i="4"/>
  <c r="AA250" i="4"/>
  <c r="AB250" i="4"/>
  <c r="Z251" i="4"/>
  <c r="AA251" i="4"/>
  <c r="AB251" i="4"/>
  <c r="Z252" i="4"/>
  <c r="AA252" i="4"/>
  <c r="AB252" i="4"/>
  <c r="Z253" i="4"/>
  <c r="AA253" i="4"/>
  <c r="AB253" i="4"/>
  <c r="Z254" i="4"/>
  <c r="AA254" i="4"/>
  <c r="AB254" i="4"/>
  <c r="Z259" i="4"/>
  <c r="AA259" i="4"/>
  <c r="AB259" i="4"/>
  <c r="Z260" i="4"/>
  <c r="AA260" i="4"/>
  <c r="AB260" i="4"/>
  <c r="Z261" i="4"/>
  <c r="AA261" i="4"/>
  <c r="AB261" i="4"/>
  <c r="Z262" i="4"/>
  <c r="AA262" i="4"/>
  <c r="AB262" i="4"/>
  <c r="Z263" i="4"/>
  <c r="AA263" i="4"/>
  <c r="AB263" i="4"/>
  <c r="Z264" i="4"/>
  <c r="AA264" i="4"/>
  <c r="AB264" i="4"/>
  <c r="Z265" i="4"/>
  <c r="AA265" i="4"/>
  <c r="AB265" i="4"/>
  <c r="Z266" i="4"/>
  <c r="AA266" i="4"/>
  <c r="AB266" i="4"/>
  <c r="Z267" i="4"/>
  <c r="AA267" i="4"/>
  <c r="AB267" i="4"/>
  <c r="Z268" i="4"/>
  <c r="AA268" i="4"/>
  <c r="AB268" i="4"/>
  <c r="Z269" i="4"/>
  <c r="AA269" i="4"/>
  <c r="AB269" i="4"/>
  <c r="Z270" i="4"/>
  <c r="AA270" i="4"/>
  <c r="AB270" i="4"/>
  <c r="Z271" i="4"/>
  <c r="AA271" i="4"/>
  <c r="AB271" i="4"/>
  <c r="Z272" i="4"/>
  <c r="AA272" i="4"/>
  <c r="AB272" i="4"/>
  <c r="Z273" i="4"/>
  <c r="AA273" i="4"/>
  <c r="AB273" i="4"/>
  <c r="Z274" i="4"/>
  <c r="AA274" i="4"/>
  <c r="AB274" i="4"/>
  <c r="Z275" i="4"/>
  <c r="AA275" i="4"/>
  <c r="AB275" i="4"/>
  <c r="Z276" i="4"/>
  <c r="AA276" i="4"/>
  <c r="AB276" i="4"/>
  <c r="Z277" i="4"/>
  <c r="AA277" i="4"/>
  <c r="AB277" i="4"/>
  <c r="P12" i="4"/>
  <c r="P13" i="4"/>
  <c r="P20" i="4"/>
  <c r="P21" i="4"/>
  <c r="P28" i="4"/>
  <c r="P34" i="4"/>
  <c r="P41" i="4"/>
  <c r="P42" i="4"/>
  <c r="P49" i="4"/>
  <c r="P50" i="4"/>
  <c r="P62" i="4"/>
  <c r="P63" i="4"/>
  <c r="P70" i="4"/>
  <c r="P71" i="4"/>
  <c r="P83" i="4"/>
  <c r="P84" i="4"/>
  <c r="P91" i="4"/>
  <c r="P92" i="4"/>
  <c r="P120" i="4"/>
  <c r="P126" i="4"/>
  <c r="P133" i="4"/>
  <c r="P134" i="4"/>
  <c r="P141" i="4"/>
  <c r="P142" i="4"/>
  <c r="P154" i="4"/>
  <c r="P155" i="4"/>
  <c r="P162" i="4"/>
  <c r="P163" i="4"/>
  <c r="P175" i="4"/>
  <c r="P177" i="4"/>
  <c r="P184" i="4"/>
  <c r="P185" i="4"/>
  <c r="P197" i="4"/>
  <c r="P198" i="4"/>
  <c r="P206" i="4"/>
  <c r="P207" i="4"/>
  <c r="P220" i="4"/>
  <c r="P221" i="4"/>
  <c r="P230" i="4"/>
  <c r="P231" i="4"/>
  <c r="P243" i="4"/>
  <c r="P244" i="4"/>
  <c r="P251" i="4"/>
  <c r="P252" i="4"/>
  <c r="P264" i="4"/>
  <c r="P265" i="4"/>
  <c r="P272" i="4"/>
  <c r="P273" i="4"/>
  <c r="P2" i="4"/>
  <c r="M3" i="4"/>
  <c r="P3" i="4" s="1"/>
  <c r="N3" i="4"/>
  <c r="O3" i="4"/>
  <c r="M4" i="4"/>
  <c r="P4" i="4" s="1"/>
  <c r="N4" i="4"/>
  <c r="O4" i="4"/>
  <c r="M5" i="4"/>
  <c r="N5" i="4"/>
  <c r="P5" i="4" s="1"/>
  <c r="O5" i="4"/>
  <c r="M11" i="4"/>
  <c r="P11" i="4" s="1"/>
  <c r="N11" i="4"/>
  <c r="O11" i="4"/>
  <c r="M12" i="4"/>
  <c r="N12" i="4"/>
  <c r="O12" i="4"/>
  <c r="M13" i="4"/>
  <c r="N13" i="4"/>
  <c r="O13" i="4"/>
  <c r="M14" i="4"/>
  <c r="P14" i="4" s="1"/>
  <c r="N14" i="4"/>
  <c r="O14" i="4"/>
  <c r="M15" i="4"/>
  <c r="P15" i="4" s="1"/>
  <c r="N15" i="4"/>
  <c r="O15" i="4"/>
  <c r="M16" i="4"/>
  <c r="P16" i="4" s="1"/>
  <c r="N16" i="4"/>
  <c r="O16" i="4"/>
  <c r="M17" i="4"/>
  <c r="P17" i="4" s="1"/>
  <c r="N17" i="4"/>
  <c r="O17" i="4"/>
  <c r="M18" i="4"/>
  <c r="N18" i="4"/>
  <c r="P18" i="4" s="1"/>
  <c r="O18" i="4"/>
  <c r="M19" i="4"/>
  <c r="P19" i="4" s="1"/>
  <c r="N19" i="4"/>
  <c r="O19" i="4"/>
  <c r="M20" i="4"/>
  <c r="N20" i="4"/>
  <c r="O20" i="4"/>
  <c r="M21" i="4"/>
  <c r="N21" i="4"/>
  <c r="O21" i="4"/>
  <c r="M22" i="4"/>
  <c r="P22" i="4" s="1"/>
  <c r="N22" i="4"/>
  <c r="O22" i="4"/>
  <c r="M23" i="4"/>
  <c r="P23" i="4" s="1"/>
  <c r="N23" i="4"/>
  <c r="O23" i="4"/>
  <c r="M24" i="4"/>
  <c r="P24" i="4" s="1"/>
  <c r="N24" i="4"/>
  <c r="O24" i="4"/>
  <c r="M25" i="4"/>
  <c r="P25" i="4" s="1"/>
  <c r="N25" i="4"/>
  <c r="O25" i="4"/>
  <c r="M26" i="4"/>
  <c r="N26" i="4"/>
  <c r="P26" i="4" s="1"/>
  <c r="O26" i="4"/>
  <c r="M27" i="4"/>
  <c r="P27" i="4" s="1"/>
  <c r="N27" i="4"/>
  <c r="O27" i="4"/>
  <c r="M28" i="4"/>
  <c r="N28" i="4"/>
  <c r="O28" i="4"/>
  <c r="M34" i="4"/>
  <c r="N34" i="4"/>
  <c r="O34" i="4"/>
  <c r="M35" i="4"/>
  <c r="P35" i="4" s="1"/>
  <c r="N35" i="4"/>
  <c r="O35" i="4"/>
  <c r="M36" i="4"/>
  <c r="P36" i="4" s="1"/>
  <c r="N36" i="4"/>
  <c r="O36" i="4"/>
  <c r="M37" i="4"/>
  <c r="P37" i="4" s="1"/>
  <c r="N37" i="4"/>
  <c r="O37" i="4"/>
  <c r="M38" i="4"/>
  <c r="P38" i="4" s="1"/>
  <c r="N38" i="4"/>
  <c r="O38" i="4"/>
  <c r="M39" i="4"/>
  <c r="N39" i="4"/>
  <c r="P39" i="4" s="1"/>
  <c r="O39" i="4"/>
  <c r="M40" i="4"/>
  <c r="P40" i="4" s="1"/>
  <c r="N40" i="4"/>
  <c r="O40" i="4"/>
  <c r="M41" i="4"/>
  <c r="N41" i="4"/>
  <c r="O41" i="4"/>
  <c r="M42" i="4"/>
  <c r="N42" i="4"/>
  <c r="O42" i="4"/>
  <c r="M43" i="4"/>
  <c r="P43" i="4" s="1"/>
  <c r="N43" i="4"/>
  <c r="O43" i="4"/>
  <c r="M44" i="4"/>
  <c r="P44" i="4" s="1"/>
  <c r="N44" i="4"/>
  <c r="O44" i="4"/>
  <c r="M45" i="4"/>
  <c r="P45" i="4" s="1"/>
  <c r="N45" i="4"/>
  <c r="O45" i="4"/>
  <c r="M46" i="4"/>
  <c r="P46" i="4" s="1"/>
  <c r="N46" i="4"/>
  <c r="O46" i="4"/>
  <c r="M47" i="4"/>
  <c r="N47" i="4"/>
  <c r="P47" i="4" s="1"/>
  <c r="O47" i="4"/>
  <c r="M48" i="4"/>
  <c r="P48" i="4" s="1"/>
  <c r="N48" i="4"/>
  <c r="O48" i="4"/>
  <c r="M49" i="4"/>
  <c r="N49" i="4"/>
  <c r="O49" i="4"/>
  <c r="M50" i="4"/>
  <c r="N50" i="4"/>
  <c r="O50" i="4"/>
  <c r="M51" i="4"/>
  <c r="P51" i="4" s="1"/>
  <c r="N51" i="4"/>
  <c r="O51" i="4"/>
  <c r="M57" i="4"/>
  <c r="P57" i="4" s="1"/>
  <c r="N57" i="4"/>
  <c r="O57" i="4"/>
  <c r="M58" i="4"/>
  <c r="P58" i="4" s="1"/>
  <c r="N58" i="4"/>
  <c r="O58" i="4"/>
  <c r="M59" i="4"/>
  <c r="P59" i="4" s="1"/>
  <c r="N59" i="4"/>
  <c r="O59" i="4"/>
  <c r="M60" i="4"/>
  <c r="N60" i="4"/>
  <c r="P60" i="4" s="1"/>
  <c r="O60" i="4"/>
  <c r="M61" i="4"/>
  <c r="P61" i="4" s="1"/>
  <c r="N61" i="4"/>
  <c r="O61" i="4"/>
  <c r="M62" i="4"/>
  <c r="N62" i="4"/>
  <c r="O62" i="4"/>
  <c r="M63" i="4"/>
  <c r="N63" i="4"/>
  <c r="O63" i="4"/>
  <c r="M64" i="4"/>
  <c r="P64" i="4" s="1"/>
  <c r="N64" i="4"/>
  <c r="O64" i="4"/>
  <c r="M65" i="4"/>
  <c r="P65" i="4" s="1"/>
  <c r="N65" i="4"/>
  <c r="O65" i="4"/>
  <c r="M66" i="4"/>
  <c r="P66" i="4" s="1"/>
  <c r="N66" i="4"/>
  <c r="O66" i="4"/>
  <c r="M67" i="4"/>
  <c r="P67" i="4" s="1"/>
  <c r="N67" i="4"/>
  <c r="O67" i="4"/>
  <c r="M68" i="4"/>
  <c r="N68" i="4"/>
  <c r="P68" i="4" s="1"/>
  <c r="O68" i="4"/>
  <c r="M69" i="4"/>
  <c r="P69" i="4" s="1"/>
  <c r="N69" i="4"/>
  <c r="O69" i="4"/>
  <c r="M70" i="4"/>
  <c r="N70" i="4"/>
  <c r="O70" i="4"/>
  <c r="M71" i="4"/>
  <c r="N71" i="4"/>
  <c r="O71" i="4"/>
  <c r="M72" i="4"/>
  <c r="P72" i="4" s="1"/>
  <c r="N72" i="4"/>
  <c r="O72" i="4"/>
  <c r="M73" i="4"/>
  <c r="P73" i="4" s="1"/>
  <c r="N73" i="4"/>
  <c r="O73" i="4"/>
  <c r="M74" i="4"/>
  <c r="P74" i="4" s="1"/>
  <c r="N74" i="4"/>
  <c r="O74" i="4"/>
  <c r="M80" i="4"/>
  <c r="P80" i="4" s="1"/>
  <c r="N80" i="4"/>
  <c r="O80" i="4"/>
  <c r="M81" i="4"/>
  <c r="N81" i="4"/>
  <c r="P81" i="4" s="1"/>
  <c r="O81" i="4"/>
  <c r="M82" i="4"/>
  <c r="P82" i="4" s="1"/>
  <c r="N82" i="4"/>
  <c r="O82" i="4"/>
  <c r="M83" i="4"/>
  <c r="N83" i="4"/>
  <c r="O83" i="4"/>
  <c r="M84" i="4"/>
  <c r="N84" i="4"/>
  <c r="O84" i="4"/>
  <c r="M85" i="4"/>
  <c r="P85" i="4" s="1"/>
  <c r="N85" i="4"/>
  <c r="O85" i="4"/>
  <c r="M86" i="4"/>
  <c r="P86" i="4" s="1"/>
  <c r="N86" i="4"/>
  <c r="O86" i="4"/>
  <c r="M87" i="4"/>
  <c r="P87" i="4" s="1"/>
  <c r="N87" i="4"/>
  <c r="O87" i="4"/>
  <c r="M88" i="4"/>
  <c r="P88" i="4" s="1"/>
  <c r="N88" i="4"/>
  <c r="O88" i="4"/>
  <c r="M89" i="4"/>
  <c r="N89" i="4"/>
  <c r="P89" i="4" s="1"/>
  <c r="O89" i="4"/>
  <c r="M90" i="4"/>
  <c r="P90" i="4" s="1"/>
  <c r="N90" i="4"/>
  <c r="O90" i="4"/>
  <c r="M91" i="4"/>
  <c r="N91" i="4"/>
  <c r="O91" i="4"/>
  <c r="M92" i="4"/>
  <c r="N92" i="4"/>
  <c r="O92" i="4"/>
  <c r="M93" i="4"/>
  <c r="P93" i="4" s="1"/>
  <c r="N93" i="4"/>
  <c r="O93" i="4"/>
  <c r="M117" i="4"/>
  <c r="P117" i="4" s="1"/>
  <c r="N117" i="4"/>
  <c r="O117" i="4"/>
  <c r="M118" i="4"/>
  <c r="N118" i="4"/>
  <c r="P118" i="4" s="1"/>
  <c r="O118" i="4"/>
  <c r="M119" i="4"/>
  <c r="P119" i="4" s="1"/>
  <c r="N119" i="4"/>
  <c r="O119" i="4"/>
  <c r="M120" i="4"/>
  <c r="N120" i="4"/>
  <c r="O120" i="4"/>
  <c r="M126" i="4"/>
  <c r="N126" i="4"/>
  <c r="O126" i="4"/>
  <c r="M127" i="4"/>
  <c r="P127" i="4" s="1"/>
  <c r="N127" i="4"/>
  <c r="O127" i="4"/>
  <c r="M128" i="4"/>
  <c r="P128" i="4" s="1"/>
  <c r="N128" i="4"/>
  <c r="O128" i="4"/>
  <c r="M129" i="4"/>
  <c r="P129" i="4" s="1"/>
  <c r="N129" i="4"/>
  <c r="O129" i="4"/>
  <c r="M130" i="4"/>
  <c r="P130" i="4" s="1"/>
  <c r="N130" i="4"/>
  <c r="O130" i="4"/>
  <c r="M131" i="4"/>
  <c r="N131" i="4"/>
  <c r="P131" i="4" s="1"/>
  <c r="O131" i="4"/>
  <c r="M132" i="4"/>
  <c r="P132" i="4" s="1"/>
  <c r="N132" i="4"/>
  <c r="O132" i="4"/>
  <c r="M133" i="4"/>
  <c r="N133" i="4"/>
  <c r="O133" i="4"/>
  <c r="M134" i="4"/>
  <c r="N134" i="4"/>
  <c r="O134" i="4"/>
  <c r="M135" i="4"/>
  <c r="P135" i="4" s="1"/>
  <c r="N135" i="4"/>
  <c r="O135" i="4"/>
  <c r="M136" i="4"/>
  <c r="P136" i="4" s="1"/>
  <c r="N136" i="4"/>
  <c r="O136" i="4"/>
  <c r="M137" i="4"/>
  <c r="P137" i="4" s="1"/>
  <c r="N137" i="4"/>
  <c r="O137" i="4"/>
  <c r="M138" i="4"/>
  <c r="P138" i="4" s="1"/>
  <c r="N138" i="4"/>
  <c r="O138" i="4"/>
  <c r="M139" i="4"/>
  <c r="N139" i="4"/>
  <c r="P139" i="4" s="1"/>
  <c r="O139" i="4"/>
  <c r="M140" i="4"/>
  <c r="P140" i="4" s="1"/>
  <c r="N140" i="4"/>
  <c r="O140" i="4"/>
  <c r="M141" i="4"/>
  <c r="N141" i="4"/>
  <c r="O141" i="4"/>
  <c r="M142" i="4"/>
  <c r="N142" i="4"/>
  <c r="O142" i="4"/>
  <c r="M143" i="4"/>
  <c r="P143" i="4" s="1"/>
  <c r="N143" i="4"/>
  <c r="O143" i="4"/>
  <c r="M149" i="4"/>
  <c r="P149" i="4" s="1"/>
  <c r="N149" i="4"/>
  <c r="O149" i="4"/>
  <c r="M150" i="4"/>
  <c r="P150" i="4" s="1"/>
  <c r="N150" i="4"/>
  <c r="O150" i="4"/>
  <c r="M151" i="4"/>
  <c r="P151" i="4" s="1"/>
  <c r="N151" i="4"/>
  <c r="O151" i="4"/>
  <c r="M152" i="4"/>
  <c r="N152" i="4"/>
  <c r="P152" i="4" s="1"/>
  <c r="O152" i="4"/>
  <c r="M153" i="4"/>
  <c r="P153" i="4" s="1"/>
  <c r="N153" i="4"/>
  <c r="O153" i="4"/>
  <c r="M154" i="4"/>
  <c r="N154" i="4"/>
  <c r="O154" i="4"/>
  <c r="M155" i="4"/>
  <c r="N155" i="4"/>
  <c r="O155" i="4"/>
  <c r="M156" i="4"/>
  <c r="P156" i="4" s="1"/>
  <c r="N156" i="4"/>
  <c r="O156" i="4"/>
  <c r="M157" i="4"/>
  <c r="P157" i="4" s="1"/>
  <c r="N157" i="4"/>
  <c r="O157" i="4"/>
  <c r="M158" i="4"/>
  <c r="P158" i="4" s="1"/>
  <c r="N158" i="4"/>
  <c r="O158" i="4"/>
  <c r="M159" i="4"/>
  <c r="P159" i="4" s="1"/>
  <c r="N159" i="4"/>
  <c r="O159" i="4"/>
  <c r="M160" i="4"/>
  <c r="N160" i="4"/>
  <c r="P160" i="4" s="1"/>
  <c r="O160" i="4"/>
  <c r="M161" i="4"/>
  <c r="P161" i="4" s="1"/>
  <c r="N161" i="4"/>
  <c r="O161" i="4"/>
  <c r="M162" i="4"/>
  <c r="N162" i="4"/>
  <c r="O162" i="4"/>
  <c r="M163" i="4"/>
  <c r="N163" i="4"/>
  <c r="O163" i="4"/>
  <c r="M164" i="4"/>
  <c r="P164" i="4" s="1"/>
  <c r="N164" i="4"/>
  <c r="O164" i="4"/>
  <c r="M165" i="4"/>
  <c r="P165" i="4" s="1"/>
  <c r="N165" i="4"/>
  <c r="O165" i="4"/>
  <c r="M166" i="4"/>
  <c r="P166" i="4" s="1"/>
  <c r="N166" i="4"/>
  <c r="O166" i="4"/>
  <c r="M172" i="4"/>
  <c r="P172" i="4" s="1"/>
  <c r="N172" i="4"/>
  <c r="O172" i="4"/>
  <c r="M173" i="4"/>
  <c r="N173" i="4"/>
  <c r="P173" i="4" s="1"/>
  <c r="O173" i="4"/>
  <c r="M174" i="4"/>
  <c r="P174" i="4" s="1"/>
  <c r="N174" i="4"/>
  <c r="O174" i="4"/>
  <c r="M175" i="4"/>
  <c r="N175" i="4"/>
  <c r="O175" i="4"/>
  <c r="M177" i="4"/>
  <c r="N177" i="4"/>
  <c r="O177" i="4"/>
  <c r="M178" i="4"/>
  <c r="P178" i="4" s="1"/>
  <c r="N178" i="4"/>
  <c r="O178" i="4"/>
  <c r="M179" i="4"/>
  <c r="P179" i="4" s="1"/>
  <c r="N179" i="4"/>
  <c r="O179" i="4"/>
  <c r="M180" i="4"/>
  <c r="P180" i="4" s="1"/>
  <c r="N180" i="4"/>
  <c r="O180" i="4"/>
  <c r="M181" i="4"/>
  <c r="P181" i="4" s="1"/>
  <c r="N181" i="4"/>
  <c r="O181" i="4"/>
  <c r="M182" i="4"/>
  <c r="N182" i="4"/>
  <c r="P182" i="4" s="1"/>
  <c r="O182" i="4"/>
  <c r="M183" i="4"/>
  <c r="P183" i="4" s="1"/>
  <c r="N183" i="4"/>
  <c r="O183" i="4"/>
  <c r="M184" i="4"/>
  <c r="N184" i="4"/>
  <c r="O184" i="4"/>
  <c r="M185" i="4"/>
  <c r="N185" i="4"/>
  <c r="O185" i="4"/>
  <c r="M186" i="4"/>
  <c r="P186" i="4" s="1"/>
  <c r="N186" i="4"/>
  <c r="O186" i="4"/>
  <c r="M187" i="4"/>
  <c r="P187" i="4" s="1"/>
  <c r="N187" i="4"/>
  <c r="O187" i="4"/>
  <c r="M188" i="4"/>
  <c r="P188" i="4" s="1"/>
  <c r="N188" i="4"/>
  <c r="O188" i="4"/>
  <c r="M189" i="4"/>
  <c r="P189" i="4" s="1"/>
  <c r="N189" i="4"/>
  <c r="O189" i="4"/>
  <c r="M195" i="4"/>
  <c r="N195" i="4"/>
  <c r="P195" i="4" s="1"/>
  <c r="O195" i="4"/>
  <c r="M196" i="4"/>
  <c r="P196" i="4" s="1"/>
  <c r="N196" i="4"/>
  <c r="O196" i="4"/>
  <c r="M197" i="4"/>
  <c r="N197" i="4"/>
  <c r="O197" i="4"/>
  <c r="M198" i="4"/>
  <c r="N198" i="4"/>
  <c r="O198" i="4"/>
  <c r="M200" i="4"/>
  <c r="P200" i="4" s="1"/>
  <c r="N200" i="4"/>
  <c r="O200" i="4"/>
  <c r="M201" i="4"/>
  <c r="P201" i="4" s="1"/>
  <c r="N201" i="4"/>
  <c r="O201" i="4"/>
  <c r="M202" i="4"/>
  <c r="P202" i="4" s="1"/>
  <c r="N202" i="4"/>
  <c r="O202" i="4"/>
  <c r="M203" i="4"/>
  <c r="P203" i="4" s="1"/>
  <c r="N203" i="4"/>
  <c r="O203" i="4"/>
  <c r="M204" i="4"/>
  <c r="N204" i="4"/>
  <c r="P204" i="4" s="1"/>
  <c r="O204" i="4"/>
  <c r="M205" i="4"/>
  <c r="P205" i="4" s="1"/>
  <c r="N205" i="4"/>
  <c r="O205" i="4"/>
  <c r="M206" i="4"/>
  <c r="N206" i="4"/>
  <c r="O206" i="4"/>
  <c r="M207" i="4"/>
  <c r="N207" i="4"/>
  <c r="O207" i="4"/>
  <c r="M208" i="4"/>
  <c r="P208" i="4" s="1"/>
  <c r="N208" i="4"/>
  <c r="O208" i="4"/>
  <c r="M209" i="4"/>
  <c r="P209" i="4" s="1"/>
  <c r="N209" i="4"/>
  <c r="O209" i="4"/>
  <c r="M210" i="4"/>
  <c r="P210" i="4" s="1"/>
  <c r="N210" i="4"/>
  <c r="O210" i="4"/>
  <c r="M211" i="4"/>
  <c r="P211" i="4" s="1"/>
  <c r="N211" i="4"/>
  <c r="O211" i="4"/>
  <c r="M212" i="4"/>
  <c r="N212" i="4"/>
  <c r="P212" i="4" s="1"/>
  <c r="O212" i="4"/>
  <c r="M219" i="4"/>
  <c r="P219" i="4" s="1"/>
  <c r="N219" i="4"/>
  <c r="O219" i="4"/>
  <c r="M220" i="4"/>
  <c r="N220" i="4"/>
  <c r="O220" i="4"/>
  <c r="M221" i="4"/>
  <c r="N221" i="4"/>
  <c r="O221" i="4"/>
  <c r="M222" i="4"/>
  <c r="P222" i="4" s="1"/>
  <c r="N222" i="4"/>
  <c r="O222" i="4"/>
  <c r="M224" i="4"/>
  <c r="P224" i="4" s="1"/>
  <c r="N224" i="4"/>
  <c r="O224" i="4"/>
  <c r="M225" i="4"/>
  <c r="P225" i="4" s="1"/>
  <c r="N225" i="4"/>
  <c r="O225" i="4"/>
  <c r="M226" i="4"/>
  <c r="P226" i="4" s="1"/>
  <c r="N226" i="4"/>
  <c r="O226" i="4"/>
  <c r="M227" i="4"/>
  <c r="N227" i="4"/>
  <c r="P227" i="4" s="1"/>
  <c r="O227" i="4"/>
  <c r="M228" i="4"/>
  <c r="P228" i="4" s="1"/>
  <c r="N228" i="4"/>
  <c r="O228" i="4"/>
  <c r="M230" i="4"/>
  <c r="N230" i="4"/>
  <c r="O230" i="4"/>
  <c r="M231" i="4"/>
  <c r="N231" i="4"/>
  <c r="O231" i="4"/>
  <c r="M232" i="4"/>
  <c r="P232" i="4" s="1"/>
  <c r="N232" i="4"/>
  <c r="O232" i="4"/>
  <c r="M233" i="4"/>
  <c r="P233" i="4" s="1"/>
  <c r="N233" i="4"/>
  <c r="O233" i="4"/>
  <c r="M234" i="4"/>
  <c r="P234" i="4" s="1"/>
  <c r="N234" i="4"/>
  <c r="O234" i="4"/>
  <c r="M235" i="4"/>
  <c r="P235" i="4" s="1"/>
  <c r="N235" i="4"/>
  <c r="O235" i="4"/>
  <c r="M241" i="4"/>
  <c r="N241" i="4"/>
  <c r="P241" i="4" s="1"/>
  <c r="O241" i="4"/>
  <c r="M242" i="4"/>
  <c r="P242" i="4" s="1"/>
  <c r="N242" i="4"/>
  <c r="O242" i="4"/>
  <c r="M243" i="4"/>
  <c r="N243" i="4"/>
  <c r="O243" i="4"/>
  <c r="M244" i="4"/>
  <c r="N244" i="4"/>
  <c r="O244" i="4"/>
  <c r="M245" i="4"/>
  <c r="P245" i="4" s="1"/>
  <c r="N245" i="4"/>
  <c r="O245" i="4"/>
  <c r="M246" i="4"/>
  <c r="P246" i="4" s="1"/>
  <c r="N246" i="4"/>
  <c r="O246" i="4"/>
  <c r="M247" i="4"/>
  <c r="P247" i="4" s="1"/>
  <c r="N247" i="4"/>
  <c r="O247" i="4"/>
  <c r="M248" i="4"/>
  <c r="P248" i="4" s="1"/>
  <c r="N248" i="4"/>
  <c r="O248" i="4"/>
  <c r="M249" i="4"/>
  <c r="N249" i="4"/>
  <c r="P249" i="4" s="1"/>
  <c r="O249" i="4"/>
  <c r="M250" i="4"/>
  <c r="P250" i="4" s="1"/>
  <c r="N250" i="4"/>
  <c r="O250" i="4"/>
  <c r="M251" i="4"/>
  <c r="N251" i="4"/>
  <c r="O251" i="4"/>
  <c r="M252" i="4"/>
  <c r="N252" i="4"/>
  <c r="O252" i="4"/>
  <c r="M253" i="4"/>
  <c r="P253" i="4" s="1"/>
  <c r="N253" i="4"/>
  <c r="O253" i="4"/>
  <c r="M254" i="4"/>
  <c r="P254" i="4" s="1"/>
  <c r="N254" i="4"/>
  <c r="O254" i="4"/>
  <c r="M255" i="4"/>
  <c r="P255" i="4" s="1"/>
  <c r="N255" i="4"/>
  <c r="O255" i="4"/>
  <c r="M256" i="4"/>
  <c r="P256" i="4" s="1"/>
  <c r="N256" i="4"/>
  <c r="O256" i="4"/>
  <c r="M257" i="4"/>
  <c r="N257" i="4"/>
  <c r="P257" i="4" s="1"/>
  <c r="O257" i="4"/>
  <c r="M258" i="4"/>
  <c r="P258" i="4" s="1"/>
  <c r="N258" i="4"/>
  <c r="O258" i="4"/>
  <c r="M264" i="4"/>
  <c r="N264" i="4"/>
  <c r="O264" i="4"/>
  <c r="M265" i="4"/>
  <c r="N265" i="4"/>
  <c r="O265" i="4"/>
  <c r="M266" i="4"/>
  <c r="P266" i="4" s="1"/>
  <c r="N266" i="4"/>
  <c r="O266" i="4"/>
  <c r="M267" i="4"/>
  <c r="P267" i="4" s="1"/>
  <c r="N267" i="4"/>
  <c r="O267" i="4"/>
  <c r="M268" i="4"/>
  <c r="P268" i="4" s="1"/>
  <c r="N268" i="4"/>
  <c r="O268" i="4"/>
  <c r="M269" i="4"/>
  <c r="P269" i="4" s="1"/>
  <c r="N269" i="4"/>
  <c r="O269" i="4"/>
  <c r="M270" i="4"/>
  <c r="N270" i="4"/>
  <c r="P270" i="4" s="1"/>
  <c r="O270" i="4"/>
  <c r="M271" i="4"/>
  <c r="P271" i="4" s="1"/>
  <c r="N271" i="4"/>
  <c r="O271" i="4"/>
  <c r="M272" i="4"/>
  <c r="N272" i="4"/>
  <c r="O272" i="4"/>
  <c r="M273" i="4"/>
  <c r="N273" i="4"/>
  <c r="O273" i="4"/>
  <c r="M274" i="4"/>
  <c r="P274" i="4" s="1"/>
  <c r="N274" i="4"/>
  <c r="O274" i="4"/>
  <c r="M275" i="4"/>
  <c r="P275" i="4" s="1"/>
  <c r="N275" i="4"/>
  <c r="O275" i="4"/>
  <c r="M276" i="4"/>
  <c r="P276" i="4" s="1"/>
  <c r="N276" i="4"/>
  <c r="O276" i="4"/>
  <c r="M277" i="4"/>
  <c r="P277" i="4" s="1"/>
  <c r="N277" i="4"/>
  <c r="O277" i="4"/>
  <c r="N2" i="4"/>
  <c r="O2" i="4"/>
  <c r="M2" i="4"/>
</calcChain>
</file>

<file path=xl/sharedStrings.xml><?xml version="1.0" encoding="utf-8"?>
<sst xmlns="http://schemas.openxmlformats.org/spreadsheetml/2006/main" count="6210" uniqueCount="150">
  <si>
    <t>title</t>
  </si>
  <si>
    <t>number</t>
  </si>
  <si>
    <t>point_name</t>
  </si>
  <si>
    <t>tx</t>
  </si>
  <si>
    <t>ty</t>
  </si>
  <si>
    <t>tz</t>
  </si>
  <si>
    <t>group_first</t>
  </si>
  <si>
    <t>group_sub</t>
  </si>
  <si>
    <t>seq</t>
  </si>
  <si>
    <t>403589_1000_C</t>
  </si>
  <si>
    <t>"CENTER_P1"</t>
  </si>
  <si>
    <t>CENTER</t>
  </si>
  <si>
    <t>"CENTER_P2"</t>
  </si>
  <si>
    <t>"CENTER_P3"</t>
  </si>
  <si>
    <t>"CENTER_P4"</t>
  </si>
  <si>
    <t>"CENTER_P5"</t>
  </si>
  <si>
    <t>"ABS2_P1|5_1"</t>
  </si>
  <si>
    <t>ABS2</t>
  </si>
  <si>
    <t>&gt;CENTER 5_1</t>
  </si>
  <si>
    <t>"ABS2_P2|5_1"</t>
  </si>
  <si>
    <t>"ABS2_P3|5_1"</t>
  </si>
  <si>
    <t>"ABS2_P4|5_1"</t>
  </si>
  <si>
    <t>"TEST_P116|5_1"</t>
  </si>
  <si>
    <t>TEST</t>
  </si>
  <si>
    <t>"TEST_P121|5_1"</t>
  </si>
  <si>
    <t>"TEST_P13|5_1"</t>
  </si>
  <si>
    <t>"TEST_P34|5_1"</t>
  </si>
  <si>
    <t>"TEST_P37|5_1"</t>
  </si>
  <si>
    <t>"TEST_P42|5_1"</t>
  </si>
  <si>
    <t>"TEST_P4|5_1"</t>
  </si>
  <si>
    <t>"TEST_P506|5_1"</t>
  </si>
  <si>
    <t>"TEST_P507|5_1"</t>
  </si>
  <si>
    <t>"TEST_P509|5_1"</t>
  </si>
  <si>
    <t>"TEST_P57|5_1"</t>
  </si>
  <si>
    <t>"TEST_P87|5_1"</t>
  </si>
  <si>
    <t>"TEST_P92|5_1"</t>
  </si>
  <si>
    <t>"TEST_P96|5_1"</t>
  </si>
  <si>
    <t>403589_1000_N</t>
  </si>
  <si>
    <t>(1)</t>
  </si>
  <si>
    <t>403589_1000_P</t>
  </si>
  <si>
    <t>403589_550_C</t>
  </si>
  <si>
    <t>403589_550_N</t>
  </si>
  <si>
    <t>"ABS2_P1"</t>
  </si>
  <si>
    <t>"ABS2_P2"</t>
  </si>
  <si>
    <t>"ABS2_P3"</t>
  </si>
  <si>
    <t>"ABS2_P4"</t>
  </si>
  <si>
    <t>"TEST_P116"</t>
  </si>
  <si>
    <t>"TEST_P121"</t>
  </si>
  <si>
    <t>"TEST_P13"</t>
  </si>
  <si>
    <t>"TEST_P34"</t>
  </si>
  <si>
    <t>"TEST_P37"</t>
  </si>
  <si>
    <t>"TEST_P4"</t>
  </si>
  <si>
    <t>"TEST_P42"</t>
  </si>
  <si>
    <t>"TEST_P506"</t>
  </si>
  <si>
    <t>"TEST_P507"</t>
  </si>
  <si>
    <t>"TEST_P509"</t>
  </si>
  <si>
    <t>"TEST_P57"</t>
  </si>
  <si>
    <t>"TEST_P87"</t>
  </si>
  <si>
    <t>"TEST_P92"</t>
  </si>
  <si>
    <t>"TEST_P96"</t>
  </si>
  <si>
    <t>403589_550_P</t>
  </si>
  <si>
    <t>403589_660_C</t>
  </si>
  <si>
    <t>403589_660_N</t>
  </si>
  <si>
    <t>403589_660_P</t>
  </si>
  <si>
    <t>403589_770_C</t>
  </si>
  <si>
    <t>403589_770_N</t>
  </si>
  <si>
    <t>403589_770_P</t>
  </si>
  <si>
    <t>"CENTER_P1|5_1"</t>
  </si>
  <si>
    <t>&gt;ABS2 5_1</t>
  </si>
  <si>
    <t>"CENTER_P2|5_1"</t>
  </si>
  <si>
    <t>"CENTER_P3|5_1"</t>
  </si>
  <si>
    <t>"CENTER_P4|5_1"</t>
  </si>
  <si>
    <t>"CENTER_P5|5_1"</t>
  </si>
  <si>
    <t xml:space="preserve">       403589_550_N</t>
  </si>
  <si>
    <t>TEST_P34</t>
  </si>
  <si>
    <t>ABS2_P1</t>
  </si>
  <si>
    <t>ABS2_P2</t>
  </si>
  <si>
    <t>ABS2_P3</t>
  </si>
  <si>
    <t>ABS2_P4</t>
  </si>
  <si>
    <t>TEST_P37</t>
  </si>
  <si>
    <t>TEST_P13</t>
  </si>
  <si>
    <t>TEST_P116</t>
  </si>
  <si>
    <t>TEST_P506</t>
  </si>
  <si>
    <t>TEST_P507</t>
  </si>
  <si>
    <t>TEST_P96</t>
  </si>
  <si>
    <t>CENTER_P2</t>
  </si>
  <si>
    <t>TEST_P87</t>
  </si>
  <si>
    <t>CENTER_P4</t>
  </si>
  <si>
    <t>TEST_P4</t>
  </si>
  <si>
    <t>*</t>
  </si>
  <si>
    <t>TEST_P42</t>
  </si>
  <si>
    <t>TEST_P57</t>
  </si>
  <si>
    <t>TEST_P92</t>
  </si>
  <si>
    <t>TEST_P121</t>
  </si>
  <si>
    <t>CENTER_P1</t>
  </si>
  <si>
    <t>CENTER_P3</t>
  </si>
  <si>
    <t>CENTER_P5</t>
  </si>
  <si>
    <t>TEST_P509</t>
  </si>
  <si>
    <t xml:space="preserve">       403589_660_N</t>
  </si>
  <si>
    <t xml:space="preserve">       403589_770_N</t>
  </si>
  <si>
    <t xml:space="preserve">       403589_770_C</t>
  </si>
  <si>
    <t xml:space="preserve">       403589_770_P</t>
  </si>
  <si>
    <t xml:space="preserve">       403589_550_C</t>
  </si>
  <si>
    <t>TEST_P508</t>
  </si>
  <si>
    <t xml:space="preserve">       403589_660_C</t>
  </si>
  <si>
    <t xml:space="preserve">       403589_1000_C</t>
  </si>
  <si>
    <t xml:space="preserve">       403589_1000_N</t>
  </si>
  <si>
    <t xml:space="preserve">       403589_1000_P</t>
  </si>
  <si>
    <t xml:space="preserve">       403589_550_P</t>
  </si>
  <si>
    <t xml:space="preserve">       403589_660_P</t>
  </si>
  <si>
    <t>title01</t>
    <phoneticPr fontId="1" type="noConversion"/>
  </si>
  <si>
    <t>number01</t>
    <phoneticPr fontId="1" type="noConversion"/>
  </si>
  <si>
    <t>point_name01</t>
    <phoneticPr fontId="1" type="noConversion"/>
  </si>
  <si>
    <t>tx01</t>
    <phoneticPr fontId="1" type="noConversion"/>
  </si>
  <si>
    <t>ty01</t>
    <phoneticPr fontId="1" type="noConversion"/>
  </si>
  <si>
    <t>tz01</t>
    <phoneticPr fontId="1" type="noConversion"/>
  </si>
  <si>
    <t>group_first01</t>
    <phoneticPr fontId="1" type="noConversion"/>
  </si>
  <si>
    <t>group_sub01</t>
    <phoneticPr fontId="1" type="noConversion"/>
  </si>
  <si>
    <t>seq01</t>
    <phoneticPr fontId="1" type="noConversion"/>
  </si>
  <si>
    <t>title02</t>
    <phoneticPr fontId="1" type="noConversion"/>
  </si>
  <si>
    <t>number02</t>
    <phoneticPr fontId="1" type="noConversion"/>
  </si>
  <si>
    <t>point_name02</t>
    <phoneticPr fontId="1" type="noConversion"/>
  </si>
  <si>
    <t>tx02</t>
    <phoneticPr fontId="1" type="noConversion"/>
  </si>
  <si>
    <t>ty02</t>
    <phoneticPr fontId="1" type="noConversion"/>
  </si>
  <si>
    <t>tz02</t>
    <phoneticPr fontId="1" type="noConversion"/>
  </si>
  <si>
    <t>group_first02</t>
    <phoneticPr fontId="1" type="noConversion"/>
  </si>
  <si>
    <t>group_sub02</t>
    <phoneticPr fontId="1" type="noConversion"/>
  </si>
  <si>
    <t>seq02</t>
    <phoneticPr fontId="1" type="noConversion"/>
  </si>
  <si>
    <t>gap_x</t>
  </si>
  <si>
    <t>gap_x</t>
    <phoneticPr fontId="1" type="noConversion"/>
  </si>
  <si>
    <t>gap_y</t>
  </si>
  <si>
    <t>gap_y</t>
    <phoneticPr fontId="1" type="noConversion"/>
  </si>
  <si>
    <t>gap_z</t>
  </si>
  <si>
    <t>gap_z</t>
    <phoneticPr fontId="1" type="noConversion"/>
  </si>
  <si>
    <t>gap_dist</t>
  </si>
  <si>
    <t>gap_dist</t>
    <phoneticPr fontId="1" type="noConversion"/>
  </si>
  <si>
    <t>gap_x_y_z</t>
    <phoneticPr fontId="1" type="noConversion"/>
  </si>
  <si>
    <t>min</t>
    <phoneticPr fontId="1" type="noConversion"/>
  </si>
  <si>
    <t>max</t>
    <phoneticPr fontId="1" type="noConversion"/>
  </si>
  <si>
    <t>avg</t>
    <phoneticPr fontId="1" type="noConversion"/>
  </si>
  <si>
    <t>std</t>
    <phoneticPr fontId="1" type="noConversion"/>
  </si>
  <si>
    <t>count</t>
    <phoneticPr fontId="1" type="noConversion"/>
  </si>
  <si>
    <t>gap_x_y_z</t>
  </si>
  <si>
    <t>gap_x_y_z</t>
    <phoneticPr fontId="1" type="noConversion"/>
  </si>
  <si>
    <t>1-sigma</t>
    <phoneticPr fontId="1" type="noConversion"/>
  </si>
  <si>
    <t>count</t>
  </si>
  <si>
    <t>min</t>
  </si>
  <si>
    <t>max</t>
  </si>
  <si>
    <t>avg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</si>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</sst>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_ "/>
    <numFmt numFmtId="177" formatCode="0.000"/>
  </numFmts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1" xfId="0" applyBorder="1"/>
    <xf numFmtId="176" fontId="0" fillId="0" borderId="1" xfId="0" applyNumberFormat="1" applyBorder="1" applyAlignment="1">
      <alignment vertical="center"/>
    </xf>
    <xf numFmtId="0" fontId="0" fillId="3" borderId="1" xfId="0" applyFill="1" applyBorder="1"/>
    <xf numFmtId="0" fontId="0" fillId="2" borderId="1" xfId="0" applyFill="1" applyBorder="1"/>
    <xf numFmtId="177" fontId="0" fillId="0" borderId="1" xfId="0" applyNumberFormat="1" applyBorder="1"/>
    <xf numFmtId="0" fontId="0" fillId="2" borderId="0" xfId="0" applyFill="1" applyBorder="1"/>
    <xf numFmtId="177" fontId="0" fillId="0" borderId="0" xfId="0" applyNumberFormat="1" applyBorder="1"/>
    <xf numFmtId="0" fontId="0" fillId="0" borderId="0" xfId="0" applyBorder="1"/>
    <xf numFmtId="0" fontId="0" fillId="5" borderId="0" xfId="0" applyFill="1"/>
    <xf numFmtId="0" fontId="0" fillId="0" borderId="0" xfId="0" applyAlignment="1">
      <alignment horizontal="center"/>
    </xf>
    <xf numFmtId="177" fontId="0" fillId="0" borderId="0" xfId="0" applyNumberFormat="1" applyAlignment="1">
      <alignment horizont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b="1"/>
              <a:t>Tolerance</a:t>
            </a:r>
            <a:r>
              <a:rPr lang="en-US" altLang="ko-KR" b="1" baseline="0"/>
              <a:t> deviation for </a:t>
            </a:r>
            <a:r>
              <a:rPr lang="en-US" altLang="ko-KR" sz="1400" b="1" i="0" u="none" strike="noStrike" baseline="0">
                <a:effectLst/>
              </a:rPr>
              <a:t>accuracy</a:t>
            </a:r>
            <a:endParaRPr lang="ko-KR" altLang="en-US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평균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Deviation!$P$4:$P$5</c:f>
                <c:numCache>
                  <c:formatCode>General</c:formatCode>
                  <c:ptCount val="2"/>
                  <c:pt idx="0">
                    <c:v>9.469051853207798E-2</c:v>
                  </c:pt>
                  <c:pt idx="1">
                    <c:v>0.11283040700440482</c:v>
                  </c:pt>
                </c:numCache>
              </c:numRef>
            </c:plus>
            <c:minus>
              <c:numRef>
                <c:f>Deviation!$P$4:$P$5</c:f>
                <c:numCache>
                  <c:formatCode>General</c:formatCode>
                  <c:ptCount val="2"/>
                  <c:pt idx="0">
                    <c:v>9.469051853207798E-2</c:v>
                  </c:pt>
                  <c:pt idx="1">
                    <c:v>0.11283040700440482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strRef>
              <c:f>Deviation!$L$4:$L$5</c:f>
              <c:strCache>
                <c:ptCount val="2"/>
                <c:pt idx="0">
                  <c:v>gap_x_y_z</c:v>
                </c:pt>
                <c:pt idx="1">
                  <c:v>gap_dist</c:v>
                </c:pt>
              </c:strCache>
            </c:strRef>
          </c:xVal>
          <c:yVal>
            <c:numRef>
              <c:f>Deviation!$O$4:$O$5</c:f>
              <c:numCache>
                <c:formatCode>General</c:formatCode>
                <c:ptCount val="2"/>
                <c:pt idx="0">
                  <c:v>-7.9802517666298853E-3</c:v>
                </c:pt>
                <c:pt idx="1">
                  <c:v>0.11983002716188525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57688"/>
        <c:axId val="190959256"/>
      </c:scatterChart>
      <c:valAx>
        <c:axId val="190957688"/>
        <c:scaling>
          <c:orientation val="minMax"/>
        </c:scaling>
        <c:delete val="0"/>
        <c:axPos val="b"/>
        <c:numFmt formatCode="General" sourceLinked="1"/>
        <c:majorTickMark val="in"/>
        <c:minorTickMark val="cross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959256"/>
        <c:crosses val="autoZero"/>
        <c:crossBetween val="midCat"/>
      </c:valAx>
      <c:valAx>
        <c:axId val="19095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0957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gap_x_y_z_coord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1-sigma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Sheet1!$A$2:$A$1189</c:f>
              <c:numCache>
                <c:formatCode>General</c:formatCode>
                <c:ptCount val="1188"/>
                <c:pt idx="0">
                  <c:v>-0.50573207530646869</c:v>
                </c:pt>
                <c:pt idx="1">
                  <c:v>-0.45574043887734206</c:v>
                </c:pt>
                <c:pt idx="2">
                  <c:v>-0.44727658604870157</c:v>
                </c:pt>
                <c:pt idx="3">
                  <c:v>-0.43814827525773126</c:v>
                </c:pt>
                <c:pt idx="4">
                  <c:v>-0.42212317162449153</c:v>
                </c:pt>
                <c:pt idx="5">
                  <c:v>-0.4201461691801569</c:v>
                </c:pt>
                <c:pt idx="6">
                  <c:v>-0.40720766495587668</c:v>
                </c:pt>
                <c:pt idx="7">
                  <c:v>-0.36386162469472083</c:v>
                </c:pt>
                <c:pt idx="8">
                  <c:v>-0.36207538797069105</c:v>
                </c:pt>
                <c:pt idx="9">
                  <c:v>-0.35854212500634119</c:v>
                </c:pt>
                <c:pt idx="10">
                  <c:v>-0.35154382292103037</c:v>
                </c:pt>
                <c:pt idx="11">
                  <c:v>-0.34981370461150618</c:v>
                </c:pt>
                <c:pt idx="12">
                  <c:v>-0.34669357466782458</c:v>
                </c:pt>
                <c:pt idx="13">
                  <c:v>-0.33565191185289223</c:v>
                </c:pt>
                <c:pt idx="14">
                  <c:v>-0.33172674227647292</c:v>
                </c:pt>
                <c:pt idx="15">
                  <c:v>-0.32841054018109617</c:v>
                </c:pt>
                <c:pt idx="16">
                  <c:v>-0.32152361919824202</c:v>
                </c:pt>
                <c:pt idx="17">
                  <c:v>-0.31810831915674953</c:v>
                </c:pt>
                <c:pt idx="18">
                  <c:v>-0.3165785776420762</c:v>
                </c:pt>
                <c:pt idx="19">
                  <c:v>-0.30161372844676038</c:v>
                </c:pt>
                <c:pt idx="20">
                  <c:v>-0.291400781407404</c:v>
                </c:pt>
                <c:pt idx="21">
                  <c:v>-0.29090925742717388</c:v>
                </c:pt>
                <c:pt idx="22">
                  <c:v>-0.27216747694421883</c:v>
                </c:pt>
                <c:pt idx="23">
                  <c:v>-0.26984604473318541</c:v>
                </c:pt>
                <c:pt idx="24">
                  <c:v>-0.26805310196016308</c:v>
                </c:pt>
                <c:pt idx="25">
                  <c:v>-0.26713322692418018</c:v>
                </c:pt>
                <c:pt idx="26">
                  <c:v>-0.26511804195403954</c:v>
                </c:pt>
                <c:pt idx="27">
                  <c:v>-0.26043957414981378</c:v>
                </c:pt>
                <c:pt idx="28">
                  <c:v>-0.26017842300965555</c:v>
                </c:pt>
                <c:pt idx="29">
                  <c:v>-0.25987863885684703</c:v>
                </c:pt>
                <c:pt idx="30">
                  <c:v>-0.25776727344440076</c:v>
                </c:pt>
                <c:pt idx="31">
                  <c:v>-0.25498827721713724</c:v>
                </c:pt>
                <c:pt idx="32">
                  <c:v>-0.25160740417925354</c:v>
                </c:pt>
                <c:pt idx="33">
                  <c:v>-0.25044263860399951</c:v>
                </c:pt>
                <c:pt idx="34">
                  <c:v>-0.24815536791993509</c:v>
                </c:pt>
                <c:pt idx="35">
                  <c:v>-0.24583934481563574</c:v>
                </c:pt>
                <c:pt idx="36">
                  <c:v>-0.23758254182331484</c:v>
                </c:pt>
                <c:pt idx="37">
                  <c:v>-0.23556162102704548</c:v>
                </c:pt>
                <c:pt idx="38">
                  <c:v>-0.23067768347084439</c:v>
                </c:pt>
                <c:pt idx="39">
                  <c:v>-0.22477411760089439</c:v>
                </c:pt>
                <c:pt idx="40">
                  <c:v>-0.21096232228592271</c:v>
                </c:pt>
                <c:pt idx="41">
                  <c:v>-0.20757026988690086</c:v>
                </c:pt>
                <c:pt idx="42">
                  <c:v>-0.20650426102201891</c:v>
                </c:pt>
                <c:pt idx="43">
                  <c:v>-0.20523180876489278</c:v>
                </c:pt>
                <c:pt idx="44">
                  <c:v>-0.2010553832188684</c:v>
                </c:pt>
                <c:pt idx="45">
                  <c:v>-0.19370716565086354</c:v>
                </c:pt>
                <c:pt idx="46">
                  <c:v>-0.19000328315087245</c:v>
                </c:pt>
                <c:pt idx="47">
                  <c:v>-0.18789644278490414</c:v>
                </c:pt>
                <c:pt idx="48">
                  <c:v>-0.18660077681988696</c:v>
                </c:pt>
                <c:pt idx="49">
                  <c:v>-0.18307781010980761</c:v>
                </c:pt>
                <c:pt idx="50">
                  <c:v>-0.17758309671284778</c:v>
                </c:pt>
                <c:pt idx="51">
                  <c:v>-0.17728834463684962</c:v>
                </c:pt>
                <c:pt idx="52">
                  <c:v>-0.17563036098204066</c:v>
                </c:pt>
                <c:pt idx="53">
                  <c:v>-0.17523550170786706</c:v>
                </c:pt>
                <c:pt idx="54">
                  <c:v>-0.17439277052375246</c:v>
                </c:pt>
                <c:pt idx="55">
                  <c:v>-0.17318132282480292</c:v>
                </c:pt>
                <c:pt idx="56">
                  <c:v>-0.17316862358838137</c:v>
                </c:pt>
                <c:pt idx="57">
                  <c:v>-0.17132297803402707</c:v>
                </c:pt>
                <c:pt idx="58">
                  <c:v>-0.16879572242282848</c:v>
                </c:pt>
                <c:pt idx="59">
                  <c:v>-0.16550584852942052</c:v>
                </c:pt>
                <c:pt idx="60">
                  <c:v>-0.16535636469809845</c:v>
                </c:pt>
                <c:pt idx="61">
                  <c:v>-0.1623145933140222</c:v>
                </c:pt>
                <c:pt idx="62">
                  <c:v>-0.15656654016993343</c:v>
                </c:pt>
                <c:pt idx="63">
                  <c:v>-0.15637908444716686</c:v>
                </c:pt>
                <c:pt idx="64">
                  <c:v>-0.15583058589004395</c:v>
                </c:pt>
                <c:pt idx="65">
                  <c:v>-0.1499851632713316</c:v>
                </c:pt>
                <c:pt idx="66">
                  <c:v>-0.14840333484410451</c:v>
                </c:pt>
                <c:pt idx="67">
                  <c:v>-0.14469880484238118</c:v>
                </c:pt>
                <c:pt idx="68">
                  <c:v>-0.14341121512597965</c:v>
                </c:pt>
                <c:pt idx="69">
                  <c:v>-0.14315494475954438</c:v>
                </c:pt>
                <c:pt idx="70">
                  <c:v>-0.14203365724409878</c:v>
                </c:pt>
                <c:pt idx="71">
                  <c:v>-0.14176455652155084</c:v>
                </c:pt>
                <c:pt idx="72">
                  <c:v>-0.14094266283700563</c:v>
                </c:pt>
                <c:pt idx="73">
                  <c:v>-0.13974403254928802</c:v>
                </c:pt>
                <c:pt idx="74">
                  <c:v>-0.13757255873580476</c:v>
                </c:pt>
                <c:pt idx="75">
                  <c:v>-0.1365952028551618</c:v>
                </c:pt>
                <c:pt idx="76">
                  <c:v>-0.136574585786569</c:v>
                </c:pt>
                <c:pt idx="77">
                  <c:v>-0.13528567137120717</c:v>
                </c:pt>
                <c:pt idx="78">
                  <c:v>-0.1337394065254216</c:v>
                </c:pt>
                <c:pt idx="79">
                  <c:v>-0.13272308784507914</c:v>
                </c:pt>
                <c:pt idx="80">
                  <c:v>-0.13265177592893451</c:v>
                </c:pt>
                <c:pt idx="81">
                  <c:v>-0.13223706144106018</c:v>
                </c:pt>
                <c:pt idx="82">
                  <c:v>-0.13208332699005609</c:v>
                </c:pt>
                <c:pt idx="83">
                  <c:v>-0.13169922922736532</c:v>
                </c:pt>
                <c:pt idx="84">
                  <c:v>-0.13101293894214905</c:v>
                </c:pt>
                <c:pt idx="85">
                  <c:v>-0.13060582515240071</c:v>
                </c:pt>
                <c:pt idx="86">
                  <c:v>-0.13046363098442271</c:v>
                </c:pt>
                <c:pt idx="87">
                  <c:v>-0.12892509871500835</c:v>
                </c:pt>
                <c:pt idx="88">
                  <c:v>-0.12850526427854447</c:v>
                </c:pt>
                <c:pt idx="89">
                  <c:v>-0.12758198102814333</c:v>
                </c:pt>
                <c:pt idx="90">
                  <c:v>-0.12621145272078138</c:v>
                </c:pt>
                <c:pt idx="91">
                  <c:v>-0.12571469421529002</c:v>
                </c:pt>
                <c:pt idx="92">
                  <c:v>-0.12460294738411903</c:v>
                </c:pt>
                <c:pt idx="93">
                  <c:v>-0.12399732976445677</c:v>
                </c:pt>
                <c:pt idx="94">
                  <c:v>-0.1222296394616933</c:v>
                </c:pt>
                <c:pt idx="95">
                  <c:v>-0.12064170093893267</c:v>
                </c:pt>
                <c:pt idx="96">
                  <c:v>-0.11997462813906168</c:v>
                </c:pt>
                <c:pt idx="97">
                  <c:v>-0.11878724627291604</c:v>
                </c:pt>
                <c:pt idx="98">
                  <c:v>-0.1151326979879741</c:v>
                </c:pt>
                <c:pt idx="99">
                  <c:v>-0.11337411423301091</c:v>
                </c:pt>
                <c:pt idx="100">
                  <c:v>-0.11330058173562918</c:v>
                </c:pt>
                <c:pt idx="101">
                  <c:v>-0.11246187932644602</c:v>
                </c:pt>
                <c:pt idx="102">
                  <c:v>-0.11197767627390931</c:v>
                </c:pt>
                <c:pt idx="103">
                  <c:v>-0.11192240683192267</c:v>
                </c:pt>
                <c:pt idx="104">
                  <c:v>-0.10972188669423844</c:v>
                </c:pt>
                <c:pt idx="105">
                  <c:v>-0.10969560290470781</c:v>
                </c:pt>
                <c:pt idx="106">
                  <c:v>-0.10777155975955566</c:v>
                </c:pt>
                <c:pt idx="107">
                  <c:v>-0.10746844296122049</c:v>
                </c:pt>
                <c:pt idx="108">
                  <c:v>-0.10699002230167487</c:v>
                </c:pt>
                <c:pt idx="109">
                  <c:v>-0.10669805091197304</c:v>
                </c:pt>
                <c:pt idx="110">
                  <c:v>-0.10640270313938061</c:v>
                </c:pt>
                <c:pt idx="111">
                  <c:v>-0.10625605319479803</c:v>
                </c:pt>
                <c:pt idx="112">
                  <c:v>-0.10472930055220786</c:v>
                </c:pt>
                <c:pt idx="113">
                  <c:v>-0.10399532956925839</c:v>
                </c:pt>
                <c:pt idx="114">
                  <c:v>-0.10330440279187769</c:v>
                </c:pt>
                <c:pt idx="115">
                  <c:v>-0.1029369519580996</c:v>
                </c:pt>
                <c:pt idx="116">
                  <c:v>-9.9196555475032255E-2</c:v>
                </c:pt>
                <c:pt idx="117">
                  <c:v>-9.9153835148300118E-2</c:v>
                </c:pt>
                <c:pt idx="118">
                  <c:v>-9.8531698431145287E-2</c:v>
                </c:pt>
                <c:pt idx="119">
                  <c:v>-9.7977227190995109E-2</c:v>
                </c:pt>
                <c:pt idx="120">
                  <c:v>-9.6569522266975127E-2</c:v>
                </c:pt>
                <c:pt idx="121">
                  <c:v>-9.6332151180590131E-2</c:v>
                </c:pt>
                <c:pt idx="122">
                  <c:v>-9.5643788386951201E-2</c:v>
                </c:pt>
                <c:pt idx="123">
                  <c:v>-9.5051625100609272E-2</c:v>
                </c:pt>
                <c:pt idx="124">
                  <c:v>-9.4309426828999676E-2</c:v>
                </c:pt>
                <c:pt idx="125">
                  <c:v>-9.3642194744205653E-2</c:v>
                </c:pt>
                <c:pt idx="126">
                  <c:v>-9.3530024432197933E-2</c:v>
                </c:pt>
                <c:pt idx="127">
                  <c:v>-9.2962774225952671E-2</c:v>
                </c:pt>
                <c:pt idx="128">
                  <c:v>-9.2231535602969927E-2</c:v>
                </c:pt>
                <c:pt idx="129">
                  <c:v>-9.2089240516855853E-2</c:v>
                </c:pt>
                <c:pt idx="130">
                  <c:v>-9.1891929769566172E-2</c:v>
                </c:pt>
                <c:pt idx="131">
                  <c:v>-9.1689911300875337E-2</c:v>
                </c:pt>
                <c:pt idx="132">
                  <c:v>-9.1636756538719055E-2</c:v>
                </c:pt>
                <c:pt idx="133">
                  <c:v>-9.1572127862946218E-2</c:v>
                </c:pt>
                <c:pt idx="134">
                  <c:v>-8.9409495379577208E-2</c:v>
                </c:pt>
                <c:pt idx="135">
                  <c:v>-8.9223331081711876E-2</c:v>
                </c:pt>
                <c:pt idx="136">
                  <c:v>-8.9222074032022647E-2</c:v>
                </c:pt>
                <c:pt idx="137">
                  <c:v>-8.8384229237931322E-2</c:v>
                </c:pt>
                <c:pt idx="138">
                  <c:v>-8.8326612763012236E-2</c:v>
                </c:pt>
                <c:pt idx="139">
                  <c:v>-8.7333988396835593E-2</c:v>
                </c:pt>
                <c:pt idx="140">
                  <c:v>-8.6541067691086937E-2</c:v>
                </c:pt>
                <c:pt idx="141">
                  <c:v>-8.6175150720464444E-2</c:v>
                </c:pt>
                <c:pt idx="142">
                  <c:v>-8.5937598990401654E-2</c:v>
                </c:pt>
                <c:pt idx="143">
                  <c:v>-8.40381967329904E-2</c:v>
                </c:pt>
                <c:pt idx="144">
                  <c:v>-8.3001804820810321E-2</c:v>
                </c:pt>
                <c:pt idx="145">
                  <c:v>-8.2623396846299796E-2</c:v>
                </c:pt>
                <c:pt idx="146">
                  <c:v>-8.1400531360250383E-2</c:v>
                </c:pt>
                <c:pt idx="147">
                  <c:v>-8.1352589903474382E-2</c:v>
                </c:pt>
                <c:pt idx="148">
                  <c:v>-7.9610968813085492E-2</c:v>
                </c:pt>
                <c:pt idx="149">
                  <c:v>-7.8958512476560827E-2</c:v>
                </c:pt>
                <c:pt idx="150">
                  <c:v>-7.8806100541669366E-2</c:v>
                </c:pt>
                <c:pt idx="151">
                  <c:v>-7.8452756765928999E-2</c:v>
                </c:pt>
                <c:pt idx="152">
                  <c:v>-7.7571959246480304E-2</c:v>
                </c:pt>
                <c:pt idx="153">
                  <c:v>-7.7462971417958215E-2</c:v>
                </c:pt>
                <c:pt idx="154">
                  <c:v>-7.6168367143168325E-2</c:v>
                </c:pt>
                <c:pt idx="155">
                  <c:v>-7.4563701666875204E-2</c:v>
                </c:pt>
                <c:pt idx="156">
                  <c:v>-7.4252262925028845E-2</c:v>
                </c:pt>
                <c:pt idx="157">
                  <c:v>-7.3974976640897694E-2</c:v>
                </c:pt>
                <c:pt idx="158">
                  <c:v>-7.3671897873747727E-2</c:v>
                </c:pt>
                <c:pt idx="159">
                  <c:v>-7.2658769402144496E-2</c:v>
                </c:pt>
                <c:pt idx="160">
                  <c:v>-7.146098383844901E-2</c:v>
                </c:pt>
                <c:pt idx="161">
                  <c:v>-7.0866146132274821E-2</c:v>
                </c:pt>
                <c:pt idx="162">
                  <c:v>-7.0420216038698413E-2</c:v>
                </c:pt>
                <c:pt idx="163">
                  <c:v>-7.0386894114989218E-2</c:v>
                </c:pt>
                <c:pt idx="164">
                  <c:v>-6.9905123315948003E-2</c:v>
                </c:pt>
                <c:pt idx="165">
                  <c:v>-6.9167596563772804E-2</c:v>
                </c:pt>
                <c:pt idx="166">
                  <c:v>-6.8505285157925755E-2</c:v>
                </c:pt>
                <c:pt idx="167">
                  <c:v>-6.849189497088215E-2</c:v>
                </c:pt>
                <c:pt idx="168">
                  <c:v>-6.7721660449024057E-2</c:v>
                </c:pt>
                <c:pt idx="169">
                  <c:v>-6.7719310200288874E-2</c:v>
                </c:pt>
                <c:pt idx="170">
                  <c:v>-6.7534405541312736E-2</c:v>
                </c:pt>
                <c:pt idx="171">
                  <c:v>-6.7369287256042298E-2</c:v>
                </c:pt>
                <c:pt idx="172">
                  <c:v>-6.6807941896058765E-2</c:v>
                </c:pt>
                <c:pt idx="173">
                  <c:v>-6.5112482732104127E-2</c:v>
                </c:pt>
                <c:pt idx="174">
                  <c:v>-6.4442907530604998E-2</c:v>
                </c:pt>
                <c:pt idx="175">
                  <c:v>-6.4163894031345592E-2</c:v>
                </c:pt>
                <c:pt idx="176">
                  <c:v>-6.3952852344190347E-2</c:v>
                </c:pt>
                <c:pt idx="177">
                  <c:v>-6.3900281021403771E-2</c:v>
                </c:pt>
                <c:pt idx="178">
                  <c:v>-6.3044835364162832E-2</c:v>
                </c:pt>
                <c:pt idx="179">
                  <c:v>-6.292490750509927E-2</c:v>
                </c:pt>
                <c:pt idx="180">
                  <c:v>-6.257269043659619E-2</c:v>
                </c:pt>
                <c:pt idx="181">
                  <c:v>-6.2042388954964167E-2</c:v>
                </c:pt>
                <c:pt idx="182">
                  <c:v>-6.1731279311288745E-2</c:v>
                </c:pt>
                <c:pt idx="183">
                  <c:v>-6.1603023935351331E-2</c:v>
                </c:pt>
                <c:pt idx="184">
                  <c:v>-6.1154684806240311E-2</c:v>
                </c:pt>
                <c:pt idx="185">
                  <c:v>-6.0794511282097119E-2</c:v>
                </c:pt>
                <c:pt idx="186">
                  <c:v>-6.055469101529809E-2</c:v>
                </c:pt>
                <c:pt idx="187">
                  <c:v>-6.0411350912090711E-2</c:v>
                </c:pt>
                <c:pt idx="188">
                  <c:v>-5.9529470028110154E-2</c:v>
                </c:pt>
                <c:pt idx="189">
                  <c:v>-5.826438991454097E-2</c:v>
                </c:pt>
                <c:pt idx="190">
                  <c:v>-5.8145194578209214E-2</c:v>
                </c:pt>
                <c:pt idx="191">
                  <c:v>-5.7950543785295849E-2</c:v>
                </c:pt>
                <c:pt idx="192">
                  <c:v>-5.7921464093681152E-2</c:v>
                </c:pt>
                <c:pt idx="193">
                  <c:v>-5.7433893290124161E-2</c:v>
                </c:pt>
                <c:pt idx="194">
                  <c:v>-5.7084497209586971E-2</c:v>
                </c:pt>
                <c:pt idx="195">
                  <c:v>-5.6900986118762376E-2</c:v>
                </c:pt>
                <c:pt idx="196">
                  <c:v>-5.669388960073718E-2</c:v>
                </c:pt>
                <c:pt idx="197">
                  <c:v>-5.6422666766735574E-2</c:v>
                </c:pt>
                <c:pt idx="198">
                  <c:v>-5.6406525221518677E-2</c:v>
                </c:pt>
                <c:pt idx="199">
                  <c:v>-5.6222823988790083E-2</c:v>
                </c:pt>
                <c:pt idx="200">
                  <c:v>-5.5434123236054234E-2</c:v>
                </c:pt>
                <c:pt idx="201">
                  <c:v>-5.5316652182544557E-2</c:v>
                </c:pt>
                <c:pt idx="202">
                  <c:v>-5.5211871636115184E-2</c:v>
                </c:pt>
                <c:pt idx="203">
                  <c:v>-5.4450442198600513E-2</c:v>
                </c:pt>
                <c:pt idx="204">
                  <c:v>-5.4264980169591581E-2</c:v>
                </c:pt>
                <c:pt idx="205">
                  <c:v>-5.3511717469916675E-2</c:v>
                </c:pt>
                <c:pt idx="206">
                  <c:v>-5.342396058608756E-2</c:v>
                </c:pt>
                <c:pt idx="207">
                  <c:v>-5.2152716996715753E-2</c:v>
                </c:pt>
                <c:pt idx="208">
                  <c:v>-5.2123447715075599E-2</c:v>
                </c:pt>
                <c:pt idx="209">
                  <c:v>-5.2042169242213276E-2</c:v>
                </c:pt>
                <c:pt idx="210">
                  <c:v>-5.1912358672325354E-2</c:v>
                </c:pt>
                <c:pt idx="211">
                  <c:v>-5.1584673100752099E-2</c:v>
                </c:pt>
                <c:pt idx="212">
                  <c:v>-5.1561470274123167E-2</c:v>
                </c:pt>
                <c:pt idx="213">
                  <c:v>-5.0955398843498756E-2</c:v>
                </c:pt>
                <c:pt idx="214">
                  <c:v>-5.0767072079011655E-2</c:v>
                </c:pt>
                <c:pt idx="215">
                  <c:v>-5.0371156923915805E-2</c:v>
                </c:pt>
                <c:pt idx="216">
                  <c:v>-4.9990997916310675E-2</c:v>
                </c:pt>
                <c:pt idx="217">
                  <c:v>-4.9466092570241926E-2</c:v>
                </c:pt>
                <c:pt idx="218">
                  <c:v>-4.9121619728680344E-2</c:v>
                </c:pt>
                <c:pt idx="219">
                  <c:v>-4.8817977182651712E-2</c:v>
                </c:pt>
                <c:pt idx="220">
                  <c:v>-4.8769969120940004E-2</c:v>
                </c:pt>
                <c:pt idx="221">
                  <c:v>-4.8562362928670666E-2</c:v>
                </c:pt>
                <c:pt idx="222">
                  <c:v>-4.8081212856459388E-2</c:v>
                </c:pt>
                <c:pt idx="223">
                  <c:v>-4.7621875543995884E-2</c:v>
                </c:pt>
                <c:pt idx="224">
                  <c:v>-4.7263380677392774E-2</c:v>
                </c:pt>
                <c:pt idx="225">
                  <c:v>-4.704168249818963E-2</c:v>
                </c:pt>
                <c:pt idx="226">
                  <c:v>-4.65952767343083E-2</c:v>
                </c:pt>
                <c:pt idx="227">
                  <c:v>-4.6419940417337102E-2</c:v>
                </c:pt>
                <c:pt idx="228">
                  <c:v>-4.6048796293973737E-2</c:v>
                </c:pt>
                <c:pt idx="229">
                  <c:v>-4.5772748142326236E-2</c:v>
                </c:pt>
                <c:pt idx="230">
                  <c:v>-4.5327196959078719E-2</c:v>
                </c:pt>
                <c:pt idx="231">
                  <c:v>-4.4850354962704841E-2</c:v>
                </c:pt>
                <c:pt idx="232">
                  <c:v>-4.4545365114089464E-2</c:v>
                </c:pt>
                <c:pt idx="233">
                  <c:v>-4.2700185065775997E-2</c:v>
                </c:pt>
                <c:pt idx="234">
                  <c:v>-4.2694533641792987E-2</c:v>
                </c:pt>
                <c:pt idx="235">
                  <c:v>-4.2508359833391296E-2</c:v>
                </c:pt>
                <c:pt idx="236">
                  <c:v>-4.229252718096177E-2</c:v>
                </c:pt>
                <c:pt idx="237">
                  <c:v>-4.2263556469606556E-2</c:v>
                </c:pt>
                <c:pt idx="238">
                  <c:v>-4.2223827927045932E-2</c:v>
                </c:pt>
                <c:pt idx="239">
                  <c:v>-4.1492536786449818E-2</c:v>
                </c:pt>
                <c:pt idx="240">
                  <c:v>-4.1045517327688685E-2</c:v>
                </c:pt>
                <c:pt idx="241">
                  <c:v>-4.1025642771110427E-2</c:v>
                </c:pt>
                <c:pt idx="242">
                  <c:v>-4.0615352939369131E-2</c:v>
                </c:pt>
                <c:pt idx="243">
                  <c:v>-4.0166058067171662E-2</c:v>
                </c:pt>
                <c:pt idx="244">
                  <c:v>-3.9922901048001336E-2</c:v>
                </c:pt>
                <c:pt idx="245">
                  <c:v>-3.9905934833541323E-2</c:v>
                </c:pt>
                <c:pt idx="246">
                  <c:v>-3.8986573575812145E-2</c:v>
                </c:pt>
                <c:pt idx="247">
                  <c:v>-3.8690023771550841E-2</c:v>
                </c:pt>
                <c:pt idx="248">
                  <c:v>-3.8656538835084575E-2</c:v>
                </c:pt>
                <c:pt idx="249">
                  <c:v>-3.8639202895097924E-2</c:v>
                </c:pt>
                <c:pt idx="250">
                  <c:v>-3.8075519619496845E-2</c:v>
                </c:pt>
                <c:pt idx="251">
                  <c:v>-3.8018867242366028E-2</c:v>
                </c:pt>
                <c:pt idx="252">
                  <c:v>-3.8001475908913562E-2</c:v>
                </c:pt>
                <c:pt idx="253">
                  <c:v>-3.7993566887053021E-2</c:v>
                </c:pt>
                <c:pt idx="254">
                  <c:v>-3.7905140237455726E-2</c:v>
                </c:pt>
                <c:pt idx="255">
                  <c:v>-3.7325133708009162E-2</c:v>
                </c:pt>
                <c:pt idx="256">
                  <c:v>-3.711700308770105E-2</c:v>
                </c:pt>
                <c:pt idx="257">
                  <c:v>-3.7011469992592083E-2</c:v>
                </c:pt>
                <c:pt idx="258">
                  <c:v>-3.689954568305609E-2</c:v>
                </c:pt>
                <c:pt idx="259">
                  <c:v>-3.675966127218544E-2</c:v>
                </c:pt>
                <c:pt idx="260">
                  <c:v>-3.6420770941049341E-2</c:v>
                </c:pt>
                <c:pt idx="261">
                  <c:v>-3.6320480661061083E-2</c:v>
                </c:pt>
                <c:pt idx="262">
                  <c:v>-3.6240202005899391E-2</c:v>
                </c:pt>
                <c:pt idx="263">
                  <c:v>-3.6232496599950537E-2</c:v>
                </c:pt>
                <c:pt idx="264">
                  <c:v>-3.560012798193668E-2</c:v>
                </c:pt>
                <c:pt idx="265">
                  <c:v>-3.5565186256008019E-2</c:v>
                </c:pt>
                <c:pt idx="266">
                  <c:v>-3.528753570748222E-2</c:v>
                </c:pt>
                <c:pt idx="267">
                  <c:v>-3.4863357513984283E-2</c:v>
                </c:pt>
                <c:pt idx="268">
                  <c:v>-3.4774674551044882E-2</c:v>
                </c:pt>
                <c:pt idx="269">
                  <c:v>-3.4175168209614526E-2</c:v>
                </c:pt>
                <c:pt idx="270">
                  <c:v>-3.4164467144478294E-2</c:v>
                </c:pt>
                <c:pt idx="271">
                  <c:v>-3.3066843378833255E-2</c:v>
                </c:pt>
                <c:pt idx="272">
                  <c:v>-3.3052132110749977E-2</c:v>
                </c:pt>
                <c:pt idx="273">
                  <c:v>-3.3052129207199243E-2</c:v>
                </c:pt>
                <c:pt idx="274">
                  <c:v>-3.2986919410518567E-2</c:v>
                </c:pt>
                <c:pt idx="275">
                  <c:v>-3.2802341357523801E-2</c:v>
                </c:pt>
                <c:pt idx="276">
                  <c:v>-3.2547752143045727E-2</c:v>
                </c:pt>
                <c:pt idx="277">
                  <c:v>-3.245677774430078E-2</c:v>
                </c:pt>
                <c:pt idx="278">
                  <c:v>-3.2312560631112319E-2</c:v>
                </c:pt>
                <c:pt idx="279">
                  <c:v>-3.2281071486323754E-2</c:v>
                </c:pt>
                <c:pt idx="280">
                  <c:v>-3.2090824728129519E-2</c:v>
                </c:pt>
                <c:pt idx="281">
                  <c:v>-3.123935364578756E-2</c:v>
                </c:pt>
                <c:pt idx="282">
                  <c:v>-3.1188311585651718E-2</c:v>
                </c:pt>
                <c:pt idx="283">
                  <c:v>-3.1138572512872997E-2</c:v>
                </c:pt>
                <c:pt idx="284">
                  <c:v>-3.0875546802974441E-2</c:v>
                </c:pt>
                <c:pt idx="285">
                  <c:v>-3.0567183460505021E-2</c:v>
                </c:pt>
                <c:pt idx="286">
                  <c:v>-3.0473556430024473E-2</c:v>
                </c:pt>
                <c:pt idx="287">
                  <c:v>-2.9431436920842519E-2</c:v>
                </c:pt>
                <c:pt idx="288">
                  <c:v>-2.9429259712969724E-2</c:v>
                </c:pt>
                <c:pt idx="289">
                  <c:v>-2.9370615323841776E-2</c:v>
                </c:pt>
                <c:pt idx="290">
                  <c:v>-2.9293752334638157E-2</c:v>
                </c:pt>
                <c:pt idx="291">
                  <c:v>-2.9240804200746595E-2</c:v>
                </c:pt>
                <c:pt idx="292">
                  <c:v>-2.912238319493099E-2</c:v>
                </c:pt>
                <c:pt idx="293">
                  <c:v>-2.9096678794019226E-2</c:v>
                </c:pt>
                <c:pt idx="294">
                  <c:v>-2.8931712056913916E-2</c:v>
                </c:pt>
                <c:pt idx="295">
                  <c:v>-2.8601155969909087E-2</c:v>
                </c:pt>
                <c:pt idx="296">
                  <c:v>-2.8591646388576919E-2</c:v>
                </c:pt>
                <c:pt idx="297">
                  <c:v>-2.8591139656896303E-2</c:v>
                </c:pt>
                <c:pt idx="298">
                  <c:v>-2.84424772100067E-2</c:v>
                </c:pt>
                <c:pt idx="299">
                  <c:v>-2.8371216577809832E-2</c:v>
                </c:pt>
                <c:pt idx="300">
                  <c:v>-2.834520435285201E-2</c:v>
                </c:pt>
                <c:pt idx="301">
                  <c:v>-2.8148848596913467E-2</c:v>
                </c:pt>
                <c:pt idx="302">
                  <c:v>-2.8129876846492152E-2</c:v>
                </c:pt>
                <c:pt idx="303">
                  <c:v>-2.7993146524914359E-2</c:v>
                </c:pt>
                <c:pt idx="304">
                  <c:v>-2.7863600533070354E-2</c:v>
                </c:pt>
                <c:pt idx="305">
                  <c:v>-2.7378933471469594E-2</c:v>
                </c:pt>
                <c:pt idx="306">
                  <c:v>-2.7215797590756097E-2</c:v>
                </c:pt>
                <c:pt idx="307">
                  <c:v>-2.7010694971210114E-2</c:v>
                </c:pt>
                <c:pt idx="308">
                  <c:v>-2.6806460602845583E-2</c:v>
                </c:pt>
                <c:pt idx="309">
                  <c:v>-2.6798191281500294E-2</c:v>
                </c:pt>
                <c:pt idx="310">
                  <c:v>-2.6732106636018216E-2</c:v>
                </c:pt>
                <c:pt idx="311">
                  <c:v>-2.6576197485098874E-2</c:v>
                </c:pt>
                <c:pt idx="312">
                  <c:v>-2.6552254688454013E-2</c:v>
                </c:pt>
                <c:pt idx="313">
                  <c:v>-2.6529287272012425E-2</c:v>
                </c:pt>
                <c:pt idx="314">
                  <c:v>-2.652763213479048E-2</c:v>
                </c:pt>
                <c:pt idx="315">
                  <c:v>-2.6512574473798622E-2</c:v>
                </c:pt>
                <c:pt idx="316">
                  <c:v>-2.6508262216538014E-2</c:v>
                </c:pt>
                <c:pt idx="317">
                  <c:v>-2.6424464920012269E-2</c:v>
                </c:pt>
                <c:pt idx="318">
                  <c:v>-2.6377721063170156E-2</c:v>
                </c:pt>
                <c:pt idx="319">
                  <c:v>-2.6361776478010857E-2</c:v>
                </c:pt>
                <c:pt idx="320">
                  <c:v>-2.6283813572149484E-2</c:v>
                </c:pt>
                <c:pt idx="321">
                  <c:v>-2.6283278510561559E-2</c:v>
                </c:pt>
                <c:pt idx="322">
                  <c:v>-2.6115978147373653E-2</c:v>
                </c:pt>
                <c:pt idx="323">
                  <c:v>-2.5928478140713196E-2</c:v>
                </c:pt>
                <c:pt idx="324">
                  <c:v>-2.5811778304841937E-2</c:v>
                </c:pt>
                <c:pt idx="325">
                  <c:v>-2.5770121249394151E-2</c:v>
                </c:pt>
                <c:pt idx="326">
                  <c:v>-2.5483387251028944E-2</c:v>
                </c:pt>
                <c:pt idx="327">
                  <c:v>-2.5475483067509685E-2</c:v>
                </c:pt>
                <c:pt idx="328">
                  <c:v>-2.5292570492496225E-2</c:v>
                </c:pt>
                <c:pt idx="329">
                  <c:v>-2.48864236314148E-2</c:v>
                </c:pt>
                <c:pt idx="330">
                  <c:v>-2.4853641408910221E-2</c:v>
                </c:pt>
                <c:pt idx="331">
                  <c:v>-2.467759544947512E-2</c:v>
                </c:pt>
                <c:pt idx="332">
                  <c:v>-2.4368724464011393E-2</c:v>
                </c:pt>
                <c:pt idx="333">
                  <c:v>-2.4277341382003215E-2</c:v>
                </c:pt>
                <c:pt idx="334">
                  <c:v>-2.4275037602876637E-2</c:v>
                </c:pt>
                <c:pt idx="335">
                  <c:v>-2.4223988170698929E-2</c:v>
                </c:pt>
                <c:pt idx="336">
                  <c:v>-2.4211143010802516E-2</c:v>
                </c:pt>
                <c:pt idx="337">
                  <c:v>-2.419603431798123E-2</c:v>
                </c:pt>
                <c:pt idx="338">
                  <c:v>-2.3941381296594955E-2</c:v>
                </c:pt>
                <c:pt idx="339">
                  <c:v>-2.3878449157393788E-2</c:v>
                </c:pt>
                <c:pt idx="340">
                  <c:v>-2.3839066318714686E-2</c:v>
                </c:pt>
                <c:pt idx="341">
                  <c:v>-2.3812521479442239E-2</c:v>
                </c:pt>
                <c:pt idx="342">
                  <c:v>-2.3770992353092879E-2</c:v>
                </c:pt>
                <c:pt idx="343">
                  <c:v>-2.3719312363198242E-2</c:v>
                </c:pt>
                <c:pt idx="344">
                  <c:v>-2.3518819885879338E-2</c:v>
                </c:pt>
                <c:pt idx="345">
                  <c:v>-2.3458429830270688E-2</c:v>
                </c:pt>
                <c:pt idx="346">
                  <c:v>-2.3267642600558247E-2</c:v>
                </c:pt>
                <c:pt idx="347">
                  <c:v>-2.3231944352460232E-2</c:v>
                </c:pt>
                <c:pt idx="348">
                  <c:v>-2.3090903247066308E-2</c:v>
                </c:pt>
                <c:pt idx="349">
                  <c:v>-2.3051896322911603E-2</c:v>
                </c:pt>
                <c:pt idx="350">
                  <c:v>-2.295602574190525E-2</c:v>
                </c:pt>
                <c:pt idx="351">
                  <c:v>-2.2955782805354374E-2</c:v>
                </c:pt>
                <c:pt idx="352">
                  <c:v>-2.2749905584703356E-2</c:v>
                </c:pt>
                <c:pt idx="353">
                  <c:v>-2.2727188959152045E-2</c:v>
                </c:pt>
                <c:pt idx="354">
                  <c:v>-2.2715642117873358E-2</c:v>
                </c:pt>
                <c:pt idx="355">
                  <c:v>-2.2669894995914319E-2</c:v>
                </c:pt>
                <c:pt idx="356">
                  <c:v>-2.2526785707954671E-2</c:v>
                </c:pt>
                <c:pt idx="357">
                  <c:v>-2.2436701245794666E-2</c:v>
                </c:pt>
                <c:pt idx="358">
                  <c:v>-2.2390777172276444E-2</c:v>
                </c:pt>
                <c:pt idx="359">
                  <c:v>-2.2303343936187048E-2</c:v>
                </c:pt>
                <c:pt idx="360">
                  <c:v>-2.2138290191946908E-2</c:v>
                </c:pt>
                <c:pt idx="361">
                  <c:v>-2.2000736908012186E-2</c:v>
                </c:pt>
                <c:pt idx="362">
                  <c:v>-2.1934484137314213E-2</c:v>
                </c:pt>
                <c:pt idx="363">
                  <c:v>-2.1868101340686508E-2</c:v>
                </c:pt>
                <c:pt idx="364">
                  <c:v>-2.1785680291031895E-2</c:v>
                </c:pt>
                <c:pt idx="365">
                  <c:v>-2.1668112062201317E-2</c:v>
                </c:pt>
                <c:pt idx="366">
                  <c:v>-2.160106541801099E-2</c:v>
                </c:pt>
                <c:pt idx="367">
                  <c:v>-2.1436978576616639E-2</c:v>
                </c:pt>
                <c:pt idx="368">
                  <c:v>-2.1408102587891165E-2</c:v>
                </c:pt>
                <c:pt idx="369">
                  <c:v>-2.0956322203801392E-2</c:v>
                </c:pt>
                <c:pt idx="370">
                  <c:v>-2.0755928758205755E-2</c:v>
                </c:pt>
                <c:pt idx="371">
                  <c:v>-2.0548120503673606E-2</c:v>
                </c:pt>
                <c:pt idx="372">
                  <c:v>-2.0526934108318073E-2</c:v>
                </c:pt>
                <c:pt idx="373">
                  <c:v>-2.0372475156198E-2</c:v>
                </c:pt>
                <c:pt idx="374">
                  <c:v>-2.0328763315376364E-2</c:v>
                </c:pt>
                <c:pt idx="375">
                  <c:v>-2.0135299535809281E-2</c:v>
                </c:pt>
                <c:pt idx="376">
                  <c:v>-2.0121254284049428E-2</c:v>
                </c:pt>
                <c:pt idx="377">
                  <c:v>-1.9897035700978449E-2</c:v>
                </c:pt>
                <c:pt idx="378">
                  <c:v>-1.9863722372974735E-2</c:v>
                </c:pt>
                <c:pt idx="379">
                  <c:v>-1.9797223606929037E-2</c:v>
                </c:pt>
                <c:pt idx="380">
                  <c:v>-1.9754655572455704E-2</c:v>
                </c:pt>
                <c:pt idx="381">
                  <c:v>-1.9675911041758809E-2</c:v>
                </c:pt>
                <c:pt idx="382">
                  <c:v>-1.961898177069088E-2</c:v>
                </c:pt>
                <c:pt idx="383">
                  <c:v>-1.9611666949003848E-2</c:v>
                </c:pt>
                <c:pt idx="384">
                  <c:v>-1.9388737635431141E-2</c:v>
                </c:pt>
                <c:pt idx="385">
                  <c:v>-1.9350086301614056E-2</c:v>
                </c:pt>
                <c:pt idx="386">
                  <c:v>-1.9206338702758785E-2</c:v>
                </c:pt>
                <c:pt idx="387">
                  <c:v>-1.9164852983976743E-2</c:v>
                </c:pt>
                <c:pt idx="388">
                  <c:v>-1.9131836716138911E-2</c:v>
                </c:pt>
                <c:pt idx="389">
                  <c:v>-1.897475727400888E-2</c:v>
                </c:pt>
                <c:pt idx="390">
                  <c:v>-1.896252549795463E-2</c:v>
                </c:pt>
                <c:pt idx="391">
                  <c:v>-1.8805946108898297E-2</c:v>
                </c:pt>
                <c:pt idx="392">
                  <c:v>-1.8774548001033509E-2</c:v>
                </c:pt>
                <c:pt idx="393">
                  <c:v>-1.8736969138615223E-2</c:v>
                </c:pt>
                <c:pt idx="394">
                  <c:v>-1.8686865165420841E-2</c:v>
                </c:pt>
                <c:pt idx="395">
                  <c:v>-1.8601462703202287E-2</c:v>
                </c:pt>
                <c:pt idx="396">
                  <c:v>-1.8390771095639025E-2</c:v>
                </c:pt>
                <c:pt idx="397">
                  <c:v>-1.8181364710926573E-2</c:v>
                </c:pt>
                <c:pt idx="398">
                  <c:v>-1.8094222109198199E-2</c:v>
                </c:pt>
                <c:pt idx="399">
                  <c:v>-1.7883338157218986E-2</c:v>
                </c:pt>
                <c:pt idx="400">
                  <c:v>-1.7776691572407799E-2</c:v>
                </c:pt>
                <c:pt idx="401">
                  <c:v>-1.7642003769349879E-2</c:v>
                </c:pt>
                <c:pt idx="402">
                  <c:v>-1.7357831747006003E-2</c:v>
                </c:pt>
                <c:pt idx="403">
                  <c:v>-1.7339209709405168E-2</c:v>
                </c:pt>
                <c:pt idx="404">
                  <c:v>-1.7225748164946708E-2</c:v>
                </c:pt>
                <c:pt idx="405">
                  <c:v>-1.6998694947915283E-2</c:v>
                </c:pt>
                <c:pt idx="406">
                  <c:v>-1.6923324345043511E-2</c:v>
                </c:pt>
                <c:pt idx="407">
                  <c:v>-1.6776460571236385E-2</c:v>
                </c:pt>
                <c:pt idx="408">
                  <c:v>-1.6732655259644957E-2</c:v>
                </c:pt>
                <c:pt idx="409">
                  <c:v>-1.6662049195474538E-2</c:v>
                </c:pt>
                <c:pt idx="410">
                  <c:v>-1.6655503626282098E-2</c:v>
                </c:pt>
                <c:pt idx="411">
                  <c:v>-1.653820679700857E-2</c:v>
                </c:pt>
                <c:pt idx="412">
                  <c:v>-1.648378184250987E-2</c:v>
                </c:pt>
                <c:pt idx="413">
                  <c:v>-1.6321882946442656E-2</c:v>
                </c:pt>
                <c:pt idx="414">
                  <c:v>-1.6244960584600676E-2</c:v>
                </c:pt>
                <c:pt idx="415">
                  <c:v>-1.6194572477559177E-2</c:v>
                </c:pt>
                <c:pt idx="416">
                  <c:v>-1.6174701520981216E-2</c:v>
                </c:pt>
                <c:pt idx="417">
                  <c:v>-1.5966715395052233E-2</c:v>
                </c:pt>
                <c:pt idx="418">
                  <c:v>-1.5855016824048107E-2</c:v>
                </c:pt>
                <c:pt idx="419">
                  <c:v>-1.5649546015886528E-2</c:v>
                </c:pt>
                <c:pt idx="420">
                  <c:v>-1.5566715939030473E-2</c:v>
                </c:pt>
                <c:pt idx="421">
                  <c:v>-1.5479276814218679E-2</c:v>
                </c:pt>
                <c:pt idx="422">
                  <c:v>-1.5446220207500971E-2</c:v>
                </c:pt>
                <c:pt idx="423">
                  <c:v>-1.5430278632038608E-2</c:v>
                </c:pt>
                <c:pt idx="424">
                  <c:v>-1.5386163014341037E-2</c:v>
                </c:pt>
                <c:pt idx="425">
                  <c:v>-1.5200640604916771E-2</c:v>
                </c:pt>
                <c:pt idx="426">
                  <c:v>-1.5190680308421634E-2</c:v>
                </c:pt>
                <c:pt idx="427">
                  <c:v>-1.5156292531486315E-2</c:v>
                </c:pt>
                <c:pt idx="428">
                  <c:v>-1.5085606970842491E-2</c:v>
                </c:pt>
                <c:pt idx="429">
                  <c:v>-1.4938945581008056E-2</c:v>
                </c:pt>
                <c:pt idx="430">
                  <c:v>-1.488081408191988E-2</c:v>
                </c:pt>
                <c:pt idx="431">
                  <c:v>-1.481131272038283E-2</c:v>
                </c:pt>
                <c:pt idx="432">
                  <c:v>-1.4743573563919199E-2</c:v>
                </c:pt>
                <c:pt idx="433">
                  <c:v>-1.4635019955338502E-2</c:v>
                </c:pt>
                <c:pt idx="434">
                  <c:v>-1.4020886347907435E-2</c:v>
                </c:pt>
                <c:pt idx="435">
                  <c:v>-1.3873128660293332E-2</c:v>
                </c:pt>
                <c:pt idx="436">
                  <c:v>-1.382567269502033E-2</c:v>
                </c:pt>
                <c:pt idx="437">
                  <c:v>-1.37040673310449E-2</c:v>
                </c:pt>
                <c:pt idx="438">
                  <c:v>-1.3664177607381589E-2</c:v>
                </c:pt>
                <c:pt idx="439">
                  <c:v>-1.358804606979902E-2</c:v>
                </c:pt>
                <c:pt idx="440">
                  <c:v>-1.3408424093995563E-2</c:v>
                </c:pt>
                <c:pt idx="441">
                  <c:v>-1.3220682134800654E-2</c:v>
                </c:pt>
                <c:pt idx="442">
                  <c:v>-1.3062689260607385E-2</c:v>
                </c:pt>
                <c:pt idx="443">
                  <c:v>-1.2837392344863474E-2</c:v>
                </c:pt>
                <c:pt idx="444">
                  <c:v>-1.2794074312950487E-2</c:v>
                </c:pt>
                <c:pt idx="445">
                  <c:v>-1.2652354656097486E-2</c:v>
                </c:pt>
                <c:pt idx="446">
                  <c:v>-1.2651765778173285E-2</c:v>
                </c:pt>
                <c:pt idx="447">
                  <c:v>-1.2651091945940607E-2</c:v>
                </c:pt>
                <c:pt idx="448">
                  <c:v>-1.2615244469451503E-2</c:v>
                </c:pt>
                <c:pt idx="449">
                  <c:v>-1.2559556296082519E-2</c:v>
                </c:pt>
                <c:pt idx="450">
                  <c:v>-1.2321035730849417E-2</c:v>
                </c:pt>
                <c:pt idx="451">
                  <c:v>-1.2275167818870614E-2</c:v>
                </c:pt>
                <c:pt idx="452">
                  <c:v>-1.2260978306699144E-2</c:v>
                </c:pt>
                <c:pt idx="453">
                  <c:v>-1.2087908183048057E-2</c:v>
                </c:pt>
                <c:pt idx="454">
                  <c:v>-1.1993679810899494E-2</c:v>
                </c:pt>
                <c:pt idx="455">
                  <c:v>-1.1931112909223884E-2</c:v>
                </c:pt>
                <c:pt idx="456">
                  <c:v>-1.1804437648123667E-2</c:v>
                </c:pt>
                <c:pt idx="457">
                  <c:v>-1.179691841582553E-2</c:v>
                </c:pt>
                <c:pt idx="458">
                  <c:v>-1.1702264412406738E-2</c:v>
                </c:pt>
                <c:pt idx="459">
                  <c:v>-1.1640285613566448E-2</c:v>
                </c:pt>
                <c:pt idx="460">
                  <c:v>-1.16382030761919E-2</c:v>
                </c:pt>
                <c:pt idx="461">
                  <c:v>-1.1615412907303835E-2</c:v>
                </c:pt>
                <c:pt idx="462">
                  <c:v>-1.1551904223495058E-2</c:v>
                </c:pt>
                <c:pt idx="463">
                  <c:v>-1.1513739252748678E-2</c:v>
                </c:pt>
                <c:pt idx="464">
                  <c:v>-1.1362053489619939E-2</c:v>
                </c:pt>
                <c:pt idx="465">
                  <c:v>-1.1348683053912706E-2</c:v>
                </c:pt>
                <c:pt idx="466">
                  <c:v>-1.1300535131169909E-2</c:v>
                </c:pt>
                <c:pt idx="467">
                  <c:v>-1.1198103060024778E-2</c:v>
                </c:pt>
                <c:pt idx="468">
                  <c:v>-1.1139371530191511E-2</c:v>
                </c:pt>
                <c:pt idx="469">
                  <c:v>-1.1032285224293281E-2</c:v>
                </c:pt>
                <c:pt idx="470">
                  <c:v>-1.0932552487020075E-2</c:v>
                </c:pt>
                <c:pt idx="471">
                  <c:v>-1.0679890930077818E-2</c:v>
                </c:pt>
                <c:pt idx="472">
                  <c:v>-1.0662918848993286E-2</c:v>
                </c:pt>
                <c:pt idx="473">
                  <c:v>-1.0594916472712157E-2</c:v>
                </c:pt>
                <c:pt idx="474">
                  <c:v>-1.0535403275715199E-2</c:v>
                </c:pt>
                <c:pt idx="475">
                  <c:v>-1.0511788516851084E-2</c:v>
                </c:pt>
                <c:pt idx="476">
                  <c:v>-1.045665337601509E-2</c:v>
                </c:pt>
                <c:pt idx="477">
                  <c:v>-1.0330058493195793E-2</c:v>
                </c:pt>
                <c:pt idx="478">
                  <c:v>-1.0300453741592719E-2</c:v>
                </c:pt>
                <c:pt idx="479">
                  <c:v>-1.0069974418655647E-2</c:v>
                </c:pt>
                <c:pt idx="480">
                  <c:v>-1.0054788186110386E-2</c:v>
                </c:pt>
                <c:pt idx="481">
                  <c:v>-1.0050548827621242E-2</c:v>
                </c:pt>
                <c:pt idx="482">
                  <c:v>-9.9586627786152349E-3</c:v>
                </c:pt>
                <c:pt idx="483">
                  <c:v>-9.7698694263783636E-3</c:v>
                </c:pt>
                <c:pt idx="484">
                  <c:v>-9.7355539002137448E-3</c:v>
                </c:pt>
                <c:pt idx="485">
                  <c:v>-9.564899308898589E-3</c:v>
                </c:pt>
                <c:pt idx="486">
                  <c:v>-9.2818067878397414E-3</c:v>
                </c:pt>
                <c:pt idx="487">
                  <c:v>-9.258754389634305E-3</c:v>
                </c:pt>
                <c:pt idx="488">
                  <c:v>-9.2353205220661039E-3</c:v>
                </c:pt>
                <c:pt idx="489">
                  <c:v>-9.2167318126712416E-3</c:v>
                </c:pt>
                <c:pt idx="490">
                  <c:v>-9.1839651033609471E-3</c:v>
                </c:pt>
                <c:pt idx="491">
                  <c:v>-9.1822061024231516E-3</c:v>
                </c:pt>
                <c:pt idx="492">
                  <c:v>-9.0093124625241217E-3</c:v>
                </c:pt>
                <c:pt idx="493">
                  <c:v>-8.68488741798501E-3</c:v>
                </c:pt>
                <c:pt idx="494">
                  <c:v>-8.6278228635592313E-3</c:v>
                </c:pt>
                <c:pt idx="495">
                  <c:v>-8.5445810539113154E-3</c:v>
                </c:pt>
                <c:pt idx="496">
                  <c:v>-8.4816106721063989E-3</c:v>
                </c:pt>
                <c:pt idx="497">
                  <c:v>-8.3582163487170291E-3</c:v>
                </c:pt>
                <c:pt idx="498">
                  <c:v>-8.3489442479276477E-3</c:v>
                </c:pt>
                <c:pt idx="499">
                  <c:v>-8.3154267691156747E-3</c:v>
                </c:pt>
                <c:pt idx="500">
                  <c:v>-8.2948502943517854E-3</c:v>
                </c:pt>
                <c:pt idx="501">
                  <c:v>-8.2829428477353417E-3</c:v>
                </c:pt>
                <c:pt idx="502">
                  <c:v>-8.1609907981601282E-3</c:v>
                </c:pt>
                <c:pt idx="503">
                  <c:v>-8.1468624556890745E-3</c:v>
                </c:pt>
                <c:pt idx="504">
                  <c:v>-8.1294797749364989E-3</c:v>
                </c:pt>
                <c:pt idx="505">
                  <c:v>-8.1245877755691254E-3</c:v>
                </c:pt>
                <c:pt idx="506">
                  <c:v>-8.1181503412040001E-3</c:v>
                </c:pt>
                <c:pt idx="507">
                  <c:v>-8.0868299748724781E-3</c:v>
                </c:pt>
                <c:pt idx="508">
                  <c:v>-8.0722282800707035E-3</c:v>
                </c:pt>
                <c:pt idx="509">
                  <c:v>-8.0196794085657941E-3</c:v>
                </c:pt>
                <c:pt idx="510">
                  <c:v>-7.8253676620079204E-3</c:v>
                </c:pt>
                <c:pt idx="511">
                  <c:v>-7.7614558299501368E-3</c:v>
                </c:pt>
                <c:pt idx="512">
                  <c:v>-7.7482100268753129E-3</c:v>
                </c:pt>
                <c:pt idx="513">
                  <c:v>-7.6911685823688458E-3</c:v>
                </c:pt>
                <c:pt idx="514">
                  <c:v>-7.5742709788073626E-3</c:v>
                </c:pt>
                <c:pt idx="515">
                  <c:v>-7.5193755446889554E-3</c:v>
                </c:pt>
                <c:pt idx="516">
                  <c:v>-7.4513086622687297E-3</c:v>
                </c:pt>
                <c:pt idx="517">
                  <c:v>-7.4278208629152687E-3</c:v>
                </c:pt>
                <c:pt idx="518">
                  <c:v>-7.4165262426220124E-3</c:v>
                </c:pt>
                <c:pt idx="519">
                  <c:v>-7.2708692061951297E-3</c:v>
                </c:pt>
                <c:pt idx="520">
                  <c:v>-7.1111851736986864E-3</c:v>
                </c:pt>
                <c:pt idx="521">
                  <c:v>-7.0089286940628881E-3</c:v>
                </c:pt>
                <c:pt idx="522">
                  <c:v>-6.9706267920821574E-3</c:v>
                </c:pt>
                <c:pt idx="523">
                  <c:v>-6.8886469816789031E-3</c:v>
                </c:pt>
                <c:pt idx="524">
                  <c:v>-6.8806170103812292E-3</c:v>
                </c:pt>
                <c:pt idx="525">
                  <c:v>-6.8201047679394833E-3</c:v>
                </c:pt>
                <c:pt idx="526">
                  <c:v>-6.7570118728781381E-3</c:v>
                </c:pt>
                <c:pt idx="527">
                  <c:v>-6.7387488725785261E-3</c:v>
                </c:pt>
                <c:pt idx="528">
                  <c:v>-6.7385369295607234E-3</c:v>
                </c:pt>
                <c:pt idx="529">
                  <c:v>-6.6808496902979186E-3</c:v>
                </c:pt>
                <c:pt idx="530">
                  <c:v>-6.6307596364421073E-3</c:v>
                </c:pt>
                <c:pt idx="531">
                  <c:v>-6.466049146865771E-3</c:v>
                </c:pt>
                <c:pt idx="532">
                  <c:v>-6.4268891769643233E-3</c:v>
                </c:pt>
                <c:pt idx="533">
                  <c:v>-6.4038208637953176E-3</c:v>
                </c:pt>
                <c:pt idx="534">
                  <c:v>-6.362952287361931E-3</c:v>
                </c:pt>
                <c:pt idx="535">
                  <c:v>-6.3493030103245474E-3</c:v>
                </c:pt>
                <c:pt idx="536">
                  <c:v>-6.3405092788570983E-3</c:v>
                </c:pt>
                <c:pt idx="537">
                  <c:v>-6.2294242384837162E-3</c:v>
                </c:pt>
                <c:pt idx="538">
                  <c:v>-6.2130017471081489E-3</c:v>
                </c:pt>
                <c:pt idx="539">
                  <c:v>-6.1758740635013964E-3</c:v>
                </c:pt>
                <c:pt idx="540">
                  <c:v>-6.0610859415639595E-3</c:v>
                </c:pt>
                <c:pt idx="541">
                  <c:v>-6.05075936709909E-3</c:v>
                </c:pt>
                <c:pt idx="542">
                  <c:v>-6.0481568604160429E-3</c:v>
                </c:pt>
                <c:pt idx="543">
                  <c:v>-6.0385010672803219E-3</c:v>
                </c:pt>
                <c:pt idx="544">
                  <c:v>-5.8936307350450079E-3</c:v>
                </c:pt>
                <c:pt idx="545">
                  <c:v>-5.7937788790029948E-3</c:v>
                </c:pt>
                <c:pt idx="546">
                  <c:v>-5.5892606454222005E-3</c:v>
                </c:pt>
                <c:pt idx="547">
                  <c:v>-5.5618839886619753E-3</c:v>
                </c:pt>
                <c:pt idx="548">
                  <c:v>-5.4795776420633047E-3</c:v>
                </c:pt>
                <c:pt idx="549">
                  <c:v>-5.3835303858704719E-3</c:v>
                </c:pt>
                <c:pt idx="550">
                  <c:v>-5.2401875680061494E-3</c:v>
                </c:pt>
                <c:pt idx="551">
                  <c:v>-5.2251155973843666E-3</c:v>
                </c:pt>
                <c:pt idx="552">
                  <c:v>-5.1891438025677417E-3</c:v>
                </c:pt>
                <c:pt idx="553">
                  <c:v>-5.1724178377980934E-3</c:v>
                </c:pt>
                <c:pt idx="554">
                  <c:v>-4.9911988121493778E-3</c:v>
                </c:pt>
                <c:pt idx="555">
                  <c:v>-4.9750744133802982E-3</c:v>
                </c:pt>
                <c:pt idx="556">
                  <c:v>-4.9438726708217473E-3</c:v>
                </c:pt>
                <c:pt idx="557">
                  <c:v>-4.8931926712043605E-3</c:v>
                </c:pt>
                <c:pt idx="558">
                  <c:v>-4.8888203140222686E-3</c:v>
                </c:pt>
                <c:pt idx="559">
                  <c:v>-4.6979363860799594E-3</c:v>
                </c:pt>
                <c:pt idx="560">
                  <c:v>-4.6967899072853925E-3</c:v>
                </c:pt>
                <c:pt idx="561">
                  <c:v>-4.6630518254344722E-3</c:v>
                </c:pt>
                <c:pt idx="562">
                  <c:v>-4.6314631442783138E-3</c:v>
                </c:pt>
                <c:pt idx="563">
                  <c:v>-4.6256586402932953E-3</c:v>
                </c:pt>
                <c:pt idx="564">
                  <c:v>-4.6255002314410376E-3</c:v>
                </c:pt>
                <c:pt idx="565">
                  <c:v>-4.5015465902054075E-3</c:v>
                </c:pt>
                <c:pt idx="566">
                  <c:v>-4.3968670902927443E-3</c:v>
                </c:pt>
                <c:pt idx="567">
                  <c:v>-4.3004179980243862E-3</c:v>
                </c:pt>
                <c:pt idx="568">
                  <c:v>-4.1439569207994964E-3</c:v>
                </c:pt>
                <c:pt idx="569">
                  <c:v>-4.124651709958016E-3</c:v>
                </c:pt>
                <c:pt idx="570">
                  <c:v>-4.1116624640430838E-3</c:v>
                </c:pt>
                <c:pt idx="571">
                  <c:v>-3.9696134152222839E-3</c:v>
                </c:pt>
                <c:pt idx="572">
                  <c:v>-3.9606508560154907E-3</c:v>
                </c:pt>
                <c:pt idx="573">
                  <c:v>-3.7899273472703499E-3</c:v>
                </c:pt>
                <c:pt idx="574">
                  <c:v>-3.7284045955061629E-3</c:v>
                </c:pt>
                <c:pt idx="575">
                  <c:v>-3.6857435658248505E-3</c:v>
                </c:pt>
                <c:pt idx="576">
                  <c:v>-3.6688673621370071E-3</c:v>
                </c:pt>
                <c:pt idx="577">
                  <c:v>-3.6639518368986046E-3</c:v>
                </c:pt>
                <c:pt idx="578">
                  <c:v>-3.5697345983933815E-3</c:v>
                </c:pt>
                <c:pt idx="579">
                  <c:v>-3.5261650871802885E-3</c:v>
                </c:pt>
                <c:pt idx="580">
                  <c:v>-3.3258970070164651E-3</c:v>
                </c:pt>
                <c:pt idx="581">
                  <c:v>-3.1990324321213848E-3</c:v>
                </c:pt>
                <c:pt idx="582">
                  <c:v>-3.1981470125970191E-3</c:v>
                </c:pt>
                <c:pt idx="583">
                  <c:v>-3.1659990772254787E-3</c:v>
                </c:pt>
                <c:pt idx="584">
                  <c:v>-3.0593006849244375E-3</c:v>
                </c:pt>
                <c:pt idx="585">
                  <c:v>-2.9569698094746855E-3</c:v>
                </c:pt>
                <c:pt idx="586">
                  <c:v>-2.9488846610092878E-3</c:v>
                </c:pt>
                <c:pt idx="587">
                  <c:v>-2.9447170031744463E-3</c:v>
                </c:pt>
                <c:pt idx="588">
                  <c:v>-2.9333821264003745E-3</c:v>
                </c:pt>
                <c:pt idx="589">
                  <c:v>-2.9134154090115771E-3</c:v>
                </c:pt>
                <c:pt idx="590">
                  <c:v>-2.9089189017952322E-3</c:v>
                </c:pt>
                <c:pt idx="591">
                  <c:v>-2.7221158208590168E-3</c:v>
                </c:pt>
                <c:pt idx="592">
                  <c:v>-2.6733767762721072E-3</c:v>
                </c:pt>
                <c:pt idx="593">
                  <c:v>-2.6090577517408065E-3</c:v>
                </c:pt>
                <c:pt idx="594">
                  <c:v>-2.5898617656191503E-3</c:v>
                </c:pt>
                <c:pt idx="595">
                  <c:v>-2.5591704838916485E-3</c:v>
                </c:pt>
                <c:pt idx="596">
                  <c:v>-2.4801449594065161E-3</c:v>
                </c:pt>
                <c:pt idx="597">
                  <c:v>-2.4630031045091982E-3</c:v>
                </c:pt>
                <c:pt idx="598">
                  <c:v>-2.3929644439704134E-3</c:v>
                </c:pt>
                <c:pt idx="599">
                  <c:v>-1.9905437059151154E-3</c:v>
                </c:pt>
                <c:pt idx="600">
                  <c:v>-1.9654378727829158E-3</c:v>
                </c:pt>
                <c:pt idx="601">
                  <c:v>-1.9417914844623851E-3</c:v>
                </c:pt>
                <c:pt idx="602">
                  <c:v>-1.8283378186652044E-3</c:v>
                </c:pt>
                <c:pt idx="603">
                  <c:v>-1.8182788647322923E-3</c:v>
                </c:pt>
                <c:pt idx="604">
                  <c:v>-1.812384440711412E-3</c:v>
                </c:pt>
                <c:pt idx="605">
                  <c:v>-1.719266570887612E-3</c:v>
                </c:pt>
                <c:pt idx="606">
                  <c:v>-1.7012566061964662E-3</c:v>
                </c:pt>
                <c:pt idx="607">
                  <c:v>-1.5089469347913109E-3</c:v>
                </c:pt>
                <c:pt idx="608">
                  <c:v>-1.3459994810180453E-3</c:v>
                </c:pt>
                <c:pt idx="609">
                  <c:v>-1.3182678906105139E-3</c:v>
                </c:pt>
                <c:pt idx="610">
                  <c:v>-1.2818449811220489E-3</c:v>
                </c:pt>
                <c:pt idx="611">
                  <c:v>-1.0869113148146425E-3</c:v>
                </c:pt>
                <c:pt idx="612">
                  <c:v>-1.0509746669669084E-3</c:v>
                </c:pt>
                <c:pt idx="613">
                  <c:v>-7.791988201120148E-4</c:v>
                </c:pt>
                <c:pt idx="614">
                  <c:v>-7.4565044661767388E-4</c:v>
                </c:pt>
                <c:pt idx="615">
                  <c:v>-6.4340499460513456E-4</c:v>
                </c:pt>
                <c:pt idx="616">
                  <c:v>-6.0066485161769378E-4</c:v>
                </c:pt>
                <c:pt idx="617">
                  <c:v>-5.1092352900994342E-4</c:v>
                </c:pt>
                <c:pt idx="618">
                  <c:v>-4.978035119620472E-4</c:v>
                </c:pt>
                <c:pt idx="619">
                  <c:v>-4.921653701330797E-4</c:v>
                </c:pt>
                <c:pt idx="620">
                  <c:v>-4.2409309332924749E-4</c:v>
                </c:pt>
                <c:pt idx="621">
                  <c:v>-2.3897702408248733E-4</c:v>
                </c:pt>
                <c:pt idx="622">
                  <c:v>-2.2076720529184968E-4</c:v>
                </c:pt>
                <c:pt idx="623">
                  <c:v>-1.3857175983056358E-4</c:v>
                </c:pt>
                <c:pt idx="624">
                  <c:v>7.0700558580938377E-6</c:v>
                </c:pt>
                <c:pt idx="625">
                  <c:v>2.2691036797084507E-5</c:v>
                </c:pt>
                <c:pt idx="626">
                  <c:v>1.2568380611810426E-4</c:v>
                </c:pt>
                <c:pt idx="627">
                  <c:v>1.9535981240714761E-4</c:v>
                </c:pt>
                <c:pt idx="628">
                  <c:v>2.512244367949279E-4</c:v>
                </c:pt>
                <c:pt idx="629">
                  <c:v>2.9851384806534043E-4</c:v>
                </c:pt>
                <c:pt idx="630">
                  <c:v>3.0406872610910796E-4</c:v>
                </c:pt>
                <c:pt idx="631">
                  <c:v>3.1010866692326999E-4</c:v>
                </c:pt>
                <c:pt idx="632">
                  <c:v>3.3379063785332619E-4</c:v>
                </c:pt>
                <c:pt idx="633">
                  <c:v>4.0413729402644094E-4</c:v>
                </c:pt>
                <c:pt idx="634">
                  <c:v>5.4603937155661697E-4</c:v>
                </c:pt>
                <c:pt idx="635">
                  <c:v>6.1267910660944835E-4</c:v>
                </c:pt>
                <c:pt idx="636">
                  <c:v>7.1595561297499444E-4</c:v>
                </c:pt>
                <c:pt idx="637">
                  <c:v>1.0307574298735744E-3</c:v>
                </c:pt>
                <c:pt idx="638">
                  <c:v>1.0467966622940139E-3</c:v>
                </c:pt>
                <c:pt idx="639">
                  <c:v>1.0784256245579549E-3</c:v>
                </c:pt>
                <c:pt idx="640">
                  <c:v>1.086637397065715E-3</c:v>
                </c:pt>
                <c:pt idx="641">
                  <c:v>1.0880856185337962E-3</c:v>
                </c:pt>
                <c:pt idx="642">
                  <c:v>1.093820950927693E-3</c:v>
                </c:pt>
                <c:pt idx="643">
                  <c:v>1.1826403646182371E-3</c:v>
                </c:pt>
                <c:pt idx="644">
                  <c:v>1.3519250406532138E-3</c:v>
                </c:pt>
                <c:pt idx="645">
                  <c:v>1.3672708811572065E-3</c:v>
                </c:pt>
                <c:pt idx="646">
                  <c:v>1.4739224903905779E-3</c:v>
                </c:pt>
                <c:pt idx="647">
                  <c:v>1.4896108837660904E-3</c:v>
                </c:pt>
                <c:pt idx="648">
                  <c:v>1.566186622881105E-3</c:v>
                </c:pt>
                <c:pt idx="649">
                  <c:v>1.5669872559556097E-3</c:v>
                </c:pt>
                <c:pt idx="650">
                  <c:v>1.5745737235874913E-3</c:v>
                </c:pt>
                <c:pt idx="651">
                  <c:v>1.6684066979451018E-3</c:v>
                </c:pt>
                <c:pt idx="652">
                  <c:v>1.6793908212093811E-3</c:v>
                </c:pt>
                <c:pt idx="653">
                  <c:v>1.7155212293857858E-3</c:v>
                </c:pt>
                <c:pt idx="654">
                  <c:v>1.7399354526901334E-3</c:v>
                </c:pt>
                <c:pt idx="655">
                  <c:v>1.9285111595763738E-3</c:v>
                </c:pt>
                <c:pt idx="656">
                  <c:v>2.0313390570887435E-3</c:v>
                </c:pt>
                <c:pt idx="657">
                  <c:v>2.145756891118733E-3</c:v>
                </c:pt>
                <c:pt idx="658">
                  <c:v>2.1662991239281837E-3</c:v>
                </c:pt>
                <c:pt idx="659">
                  <c:v>2.2957447966640565E-3</c:v>
                </c:pt>
                <c:pt idx="660">
                  <c:v>2.3840556787035894E-3</c:v>
                </c:pt>
                <c:pt idx="661">
                  <c:v>2.4171758082047745E-3</c:v>
                </c:pt>
                <c:pt idx="662">
                  <c:v>2.4875282691141365E-3</c:v>
                </c:pt>
                <c:pt idx="663">
                  <c:v>2.5001421564638804E-3</c:v>
                </c:pt>
                <c:pt idx="664">
                  <c:v>2.6697604361061167E-3</c:v>
                </c:pt>
                <c:pt idx="665">
                  <c:v>2.8009317750274931E-3</c:v>
                </c:pt>
                <c:pt idx="666">
                  <c:v>2.9011179505680218E-3</c:v>
                </c:pt>
                <c:pt idx="667">
                  <c:v>2.9203156718153878E-3</c:v>
                </c:pt>
                <c:pt idx="668">
                  <c:v>2.9656562655304697E-3</c:v>
                </c:pt>
                <c:pt idx="669">
                  <c:v>2.9947791213658093E-3</c:v>
                </c:pt>
                <c:pt idx="670">
                  <c:v>3.0230792792167449E-3</c:v>
                </c:pt>
                <c:pt idx="671">
                  <c:v>3.0453071951797028E-3</c:v>
                </c:pt>
                <c:pt idx="672">
                  <c:v>3.0670456477963626E-3</c:v>
                </c:pt>
                <c:pt idx="673">
                  <c:v>3.0870223744159375E-3</c:v>
                </c:pt>
                <c:pt idx="674">
                  <c:v>3.1364755522815813E-3</c:v>
                </c:pt>
                <c:pt idx="675">
                  <c:v>3.142391141196299E-3</c:v>
                </c:pt>
                <c:pt idx="676">
                  <c:v>3.4988332451519888E-3</c:v>
                </c:pt>
                <c:pt idx="677">
                  <c:v>3.5715564828478485E-3</c:v>
                </c:pt>
                <c:pt idx="678">
                  <c:v>3.5818924777686334E-3</c:v>
                </c:pt>
                <c:pt idx="679">
                  <c:v>3.6261059869957535E-3</c:v>
                </c:pt>
                <c:pt idx="680">
                  <c:v>3.7657624912981191E-3</c:v>
                </c:pt>
                <c:pt idx="681">
                  <c:v>3.9053782579117069E-3</c:v>
                </c:pt>
                <c:pt idx="682">
                  <c:v>3.9243593977857927E-3</c:v>
                </c:pt>
                <c:pt idx="683">
                  <c:v>3.9310311272160448E-3</c:v>
                </c:pt>
                <c:pt idx="684">
                  <c:v>3.9387471177292355E-3</c:v>
                </c:pt>
                <c:pt idx="685">
                  <c:v>4.0794870295712826E-3</c:v>
                </c:pt>
                <c:pt idx="686">
                  <c:v>4.1231373500068003E-3</c:v>
                </c:pt>
                <c:pt idx="687">
                  <c:v>4.1758328219430041E-3</c:v>
                </c:pt>
                <c:pt idx="688">
                  <c:v>4.6335144601812317E-3</c:v>
                </c:pt>
                <c:pt idx="689">
                  <c:v>4.640308967054807E-3</c:v>
                </c:pt>
                <c:pt idx="690">
                  <c:v>4.845471212576058E-3</c:v>
                </c:pt>
                <c:pt idx="691">
                  <c:v>4.8941619572707984E-3</c:v>
                </c:pt>
                <c:pt idx="692">
                  <c:v>4.8976936808458049E-3</c:v>
                </c:pt>
                <c:pt idx="693">
                  <c:v>4.9506068272648918E-3</c:v>
                </c:pt>
                <c:pt idx="694">
                  <c:v>5.0326700476077679E-3</c:v>
                </c:pt>
                <c:pt idx="695">
                  <c:v>5.0544289715048762E-3</c:v>
                </c:pt>
                <c:pt idx="696">
                  <c:v>5.0943612544074313E-3</c:v>
                </c:pt>
                <c:pt idx="697">
                  <c:v>5.1671357159648323E-3</c:v>
                </c:pt>
                <c:pt idx="698">
                  <c:v>5.3295779955533362E-3</c:v>
                </c:pt>
                <c:pt idx="699">
                  <c:v>5.338242054548914E-3</c:v>
                </c:pt>
                <c:pt idx="700">
                  <c:v>5.4047613100465242E-3</c:v>
                </c:pt>
                <c:pt idx="701">
                  <c:v>5.5210323271239758E-3</c:v>
                </c:pt>
                <c:pt idx="702">
                  <c:v>5.5915579309839814E-3</c:v>
                </c:pt>
                <c:pt idx="703">
                  <c:v>5.7522331419477268E-3</c:v>
                </c:pt>
                <c:pt idx="704">
                  <c:v>5.7710651942102231E-3</c:v>
                </c:pt>
                <c:pt idx="705">
                  <c:v>5.8076053944660089E-3</c:v>
                </c:pt>
                <c:pt idx="706">
                  <c:v>5.8600664650043655E-3</c:v>
                </c:pt>
                <c:pt idx="707">
                  <c:v>6.0643188201083831E-3</c:v>
                </c:pt>
                <c:pt idx="708">
                  <c:v>6.0813813677214057E-3</c:v>
                </c:pt>
                <c:pt idx="709">
                  <c:v>6.1656318678977584E-3</c:v>
                </c:pt>
                <c:pt idx="710">
                  <c:v>6.178200273549983E-3</c:v>
                </c:pt>
                <c:pt idx="711">
                  <c:v>6.1815059658556493E-3</c:v>
                </c:pt>
                <c:pt idx="712">
                  <c:v>6.4532611187360089E-3</c:v>
                </c:pt>
                <c:pt idx="713">
                  <c:v>6.5238223716050925E-3</c:v>
                </c:pt>
                <c:pt idx="714">
                  <c:v>6.5271128322070687E-3</c:v>
                </c:pt>
                <c:pt idx="715">
                  <c:v>6.5484663166444079E-3</c:v>
                </c:pt>
                <c:pt idx="716">
                  <c:v>6.7875644258492684E-3</c:v>
                </c:pt>
                <c:pt idx="717">
                  <c:v>6.8173556956026005E-3</c:v>
                </c:pt>
                <c:pt idx="718">
                  <c:v>6.8281739075359837E-3</c:v>
                </c:pt>
                <c:pt idx="719">
                  <c:v>6.916883876101565E-3</c:v>
                </c:pt>
                <c:pt idx="720">
                  <c:v>6.9749229842841487E-3</c:v>
                </c:pt>
                <c:pt idx="721">
                  <c:v>6.9822546163891275E-3</c:v>
                </c:pt>
                <c:pt idx="722">
                  <c:v>7.0554749485296497E-3</c:v>
                </c:pt>
                <c:pt idx="723">
                  <c:v>7.1670503359086979E-3</c:v>
                </c:pt>
                <c:pt idx="724">
                  <c:v>7.1866162502374209E-3</c:v>
                </c:pt>
                <c:pt idx="725">
                  <c:v>7.2137120595243687E-3</c:v>
                </c:pt>
                <c:pt idx="726">
                  <c:v>7.3377143116033494E-3</c:v>
                </c:pt>
                <c:pt idx="727">
                  <c:v>7.4030564936151677E-3</c:v>
                </c:pt>
                <c:pt idx="728">
                  <c:v>7.4076892273922113E-3</c:v>
                </c:pt>
                <c:pt idx="729">
                  <c:v>7.529934331143906E-3</c:v>
                </c:pt>
                <c:pt idx="730">
                  <c:v>7.5531412378069263E-3</c:v>
                </c:pt>
                <c:pt idx="731">
                  <c:v>7.7482539878701573E-3</c:v>
                </c:pt>
                <c:pt idx="732">
                  <c:v>7.8789885648795632E-3</c:v>
                </c:pt>
                <c:pt idx="733">
                  <c:v>8.0085555206323988E-3</c:v>
                </c:pt>
                <c:pt idx="734">
                  <c:v>8.2346233357384335E-3</c:v>
                </c:pt>
                <c:pt idx="735">
                  <c:v>8.3097392304800621E-3</c:v>
                </c:pt>
                <c:pt idx="736">
                  <c:v>8.3408500208861369E-3</c:v>
                </c:pt>
                <c:pt idx="737">
                  <c:v>8.3571285766197434E-3</c:v>
                </c:pt>
                <c:pt idx="738">
                  <c:v>8.5199401856925761E-3</c:v>
                </c:pt>
                <c:pt idx="739">
                  <c:v>8.5713464561649744E-3</c:v>
                </c:pt>
                <c:pt idx="740">
                  <c:v>8.5767526760207602E-3</c:v>
                </c:pt>
                <c:pt idx="741">
                  <c:v>8.618398379098835E-3</c:v>
                </c:pt>
                <c:pt idx="742">
                  <c:v>8.6935079274041982E-3</c:v>
                </c:pt>
                <c:pt idx="743">
                  <c:v>8.6964301833631907E-3</c:v>
                </c:pt>
                <c:pt idx="744">
                  <c:v>8.7048655079797754E-3</c:v>
                </c:pt>
                <c:pt idx="745">
                  <c:v>8.7714638482907503E-3</c:v>
                </c:pt>
                <c:pt idx="746">
                  <c:v>8.8031263359766854E-3</c:v>
                </c:pt>
                <c:pt idx="747">
                  <c:v>8.86015159312592E-3</c:v>
                </c:pt>
                <c:pt idx="748">
                  <c:v>9.0208242575187114E-3</c:v>
                </c:pt>
                <c:pt idx="749">
                  <c:v>9.218660497140263E-3</c:v>
                </c:pt>
                <c:pt idx="750">
                  <c:v>9.2952157514218925E-3</c:v>
                </c:pt>
                <c:pt idx="751">
                  <c:v>9.3547928320703022E-3</c:v>
                </c:pt>
                <c:pt idx="752">
                  <c:v>9.624162590796459E-3</c:v>
                </c:pt>
                <c:pt idx="753">
                  <c:v>9.6929210841949498E-3</c:v>
                </c:pt>
                <c:pt idx="754">
                  <c:v>9.7487878023018171E-3</c:v>
                </c:pt>
                <c:pt idx="755">
                  <c:v>9.8585337851773147E-3</c:v>
                </c:pt>
                <c:pt idx="756">
                  <c:v>9.9078548576017056E-3</c:v>
                </c:pt>
                <c:pt idx="757">
                  <c:v>1.0034653261349002E-2</c:v>
                </c:pt>
                <c:pt idx="758">
                  <c:v>1.0109609636856476E-2</c:v>
                </c:pt>
                <c:pt idx="759">
                  <c:v>1.012217282352168E-2</c:v>
                </c:pt>
                <c:pt idx="760">
                  <c:v>1.012224218911939E-2</c:v>
                </c:pt>
                <c:pt idx="761">
                  <c:v>1.020903183439259E-2</c:v>
                </c:pt>
                <c:pt idx="762">
                  <c:v>1.0281927191613249E-2</c:v>
                </c:pt>
                <c:pt idx="763">
                  <c:v>1.0401062973301123E-2</c:v>
                </c:pt>
                <c:pt idx="764">
                  <c:v>1.0542225882119283E-2</c:v>
                </c:pt>
                <c:pt idx="765">
                  <c:v>1.0550427163934728E-2</c:v>
                </c:pt>
                <c:pt idx="766">
                  <c:v>1.0553987943978882E-2</c:v>
                </c:pt>
                <c:pt idx="767">
                  <c:v>1.0686853484401126E-2</c:v>
                </c:pt>
                <c:pt idx="768">
                  <c:v>1.0695047731203999E-2</c:v>
                </c:pt>
                <c:pt idx="769">
                  <c:v>1.0700594507511596E-2</c:v>
                </c:pt>
                <c:pt idx="770">
                  <c:v>1.0776400156162685E-2</c:v>
                </c:pt>
                <c:pt idx="771">
                  <c:v>1.0829691511261785E-2</c:v>
                </c:pt>
                <c:pt idx="772">
                  <c:v>1.0896359150706303E-2</c:v>
                </c:pt>
                <c:pt idx="773">
                  <c:v>1.0967841557601332E-2</c:v>
                </c:pt>
                <c:pt idx="774">
                  <c:v>1.102588404118876E-2</c:v>
                </c:pt>
                <c:pt idx="775">
                  <c:v>1.1160924861087551E-2</c:v>
                </c:pt>
                <c:pt idx="776">
                  <c:v>1.1200243502798912E-2</c:v>
                </c:pt>
                <c:pt idx="777">
                  <c:v>1.1286125219214682E-2</c:v>
                </c:pt>
                <c:pt idx="778">
                  <c:v>1.1321357749807248E-2</c:v>
                </c:pt>
                <c:pt idx="779">
                  <c:v>1.1347972104488235E-2</c:v>
                </c:pt>
                <c:pt idx="780">
                  <c:v>1.1359384005118045E-2</c:v>
                </c:pt>
                <c:pt idx="781">
                  <c:v>1.1398161502796711E-2</c:v>
                </c:pt>
                <c:pt idx="782">
                  <c:v>1.1413972885009116E-2</c:v>
                </c:pt>
                <c:pt idx="783">
                  <c:v>1.14495683249487E-2</c:v>
                </c:pt>
                <c:pt idx="784">
                  <c:v>1.1580284451042644E-2</c:v>
                </c:pt>
                <c:pt idx="785">
                  <c:v>1.1634976148457099E-2</c:v>
                </c:pt>
                <c:pt idx="786">
                  <c:v>1.1839041785144389E-2</c:v>
                </c:pt>
                <c:pt idx="787">
                  <c:v>1.1859969166835072E-2</c:v>
                </c:pt>
                <c:pt idx="788">
                  <c:v>1.1870486197381069E-2</c:v>
                </c:pt>
                <c:pt idx="789">
                  <c:v>1.1986507942295166E-2</c:v>
                </c:pt>
                <c:pt idx="790">
                  <c:v>1.2237267200255975E-2</c:v>
                </c:pt>
                <c:pt idx="791">
                  <c:v>1.2417146510699695E-2</c:v>
                </c:pt>
                <c:pt idx="792">
                  <c:v>1.2432714388921795E-2</c:v>
                </c:pt>
                <c:pt idx="793">
                  <c:v>1.2569075640271876E-2</c:v>
                </c:pt>
                <c:pt idx="794">
                  <c:v>1.2754800238781172E-2</c:v>
                </c:pt>
                <c:pt idx="795">
                  <c:v>1.2814548281685934E-2</c:v>
                </c:pt>
                <c:pt idx="796">
                  <c:v>1.281761497178735E-2</c:v>
                </c:pt>
                <c:pt idx="797">
                  <c:v>1.2907954882848571E-2</c:v>
                </c:pt>
                <c:pt idx="798">
                  <c:v>1.3196802729268597E-2</c:v>
                </c:pt>
                <c:pt idx="799">
                  <c:v>1.3199009759944147E-2</c:v>
                </c:pt>
                <c:pt idx="800">
                  <c:v>1.3201621875396086E-2</c:v>
                </c:pt>
                <c:pt idx="801">
                  <c:v>1.320892305679422E-2</c:v>
                </c:pt>
                <c:pt idx="802">
                  <c:v>1.3216811262566353E-2</c:v>
                </c:pt>
                <c:pt idx="803">
                  <c:v>1.331887977185886E-2</c:v>
                </c:pt>
                <c:pt idx="804">
                  <c:v>1.3668748000696951E-2</c:v>
                </c:pt>
                <c:pt idx="805">
                  <c:v>1.3688171974749253E-2</c:v>
                </c:pt>
                <c:pt idx="806">
                  <c:v>1.3710050375834726E-2</c:v>
                </c:pt>
                <c:pt idx="807">
                  <c:v>1.3718509063323836E-2</c:v>
                </c:pt>
                <c:pt idx="808">
                  <c:v>1.3790477818979241E-2</c:v>
                </c:pt>
                <c:pt idx="809">
                  <c:v>1.3855584347538752E-2</c:v>
                </c:pt>
                <c:pt idx="810">
                  <c:v>1.3859297359601896E-2</c:v>
                </c:pt>
                <c:pt idx="811">
                  <c:v>1.3927349625419083E-2</c:v>
                </c:pt>
                <c:pt idx="812">
                  <c:v>1.4122289793931486E-2</c:v>
                </c:pt>
                <c:pt idx="813">
                  <c:v>1.4164273980796338E-2</c:v>
                </c:pt>
                <c:pt idx="814">
                  <c:v>1.4235352085052E-2</c:v>
                </c:pt>
                <c:pt idx="815">
                  <c:v>1.4338110082121602E-2</c:v>
                </c:pt>
                <c:pt idx="816">
                  <c:v>1.4342810967036712E-2</c:v>
                </c:pt>
                <c:pt idx="817">
                  <c:v>1.4426005764725858E-2</c:v>
                </c:pt>
                <c:pt idx="818">
                  <c:v>1.4454047929888247E-2</c:v>
                </c:pt>
                <c:pt idx="819">
                  <c:v>1.4926968867825963E-2</c:v>
                </c:pt>
                <c:pt idx="820">
                  <c:v>1.495654321274742E-2</c:v>
                </c:pt>
                <c:pt idx="821">
                  <c:v>1.5023457417100872E-2</c:v>
                </c:pt>
                <c:pt idx="822">
                  <c:v>1.5099813260192718E-2</c:v>
                </c:pt>
                <c:pt idx="823">
                  <c:v>1.5383314062542626E-2</c:v>
                </c:pt>
                <c:pt idx="824">
                  <c:v>1.5748586701079148E-2</c:v>
                </c:pt>
                <c:pt idx="825">
                  <c:v>1.5881638210487381E-2</c:v>
                </c:pt>
                <c:pt idx="826">
                  <c:v>1.5938620554010186E-2</c:v>
                </c:pt>
                <c:pt idx="827">
                  <c:v>1.5971427248814507E-2</c:v>
                </c:pt>
                <c:pt idx="828">
                  <c:v>1.5974667030718592E-2</c:v>
                </c:pt>
                <c:pt idx="829">
                  <c:v>1.5984694615269746E-2</c:v>
                </c:pt>
                <c:pt idx="830">
                  <c:v>1.6094488456701583E-2</c:v>
                </c:pt>
                <c:pt idx="831">
                  <c:v>1.6101032396022674E-2</c:v>
                </c:pt>
                <c:pt idx="832">
                  <c:v>1.6130588108580923E-2</c:v>
                </c:pt>
                <c:pt idx="833">
                  <c:v>1.6269428386067375E-2</c:v>
                </c:pt>
                <c:pt idx="834">
                  <c:v>1.6417976993579941E-2</c:v>
                </c:pt>
                <c:pt idx="835">
                  <c:v>1.6460806638804115E-2</c:v>
                </c:pt>
                <c:pt idx="836">
                  <c:v>1.6742373117111242E-2</c:v>
                </c:pt>
                <c:pt idx="837">
                  <c:v>1.6884711872705793E-2</c:v>
                </c:pt>
                <c:pt idx="838">
                  <c:v>1.7035261195019302E-2</c:v>
                </c:pt>
                <c:pt idx="839">
                  <c:v>1.7039244397665243E-2</c:v>
                </c:pt>
                <c:pt idx="840">
                  <c:v>1.7226735413657934E-2</c:v>
                </c:pt>
                <c:pt idx="841">
                  <c:v>1.7244608733790301E-2</c:v>
                </c:pt>
                <c:pt idx="842">
                  <c:v>1.7285713926696644E-2</c:v>
                </c:pt>
                <c:pt idx="843">
                  <c:v>1.7315224805088292E-2</c:v>
                </c:pt>
                <c:pt idx="844">
                  <c:v>1.7368752245658925E-2</c:v>
                </c:pt>
                <c:pt idx="845">
                  <c:v>1.7451169011607703E-2</c:v>
                </c:pt>
                <c:pt idx="846">
                  <c:v>1.7451429727739054E-2</c:v>
                </c:pt>
                <c:pt idx="847">
                  <c:v>1.7456414799553954E-2</c:v>
                </c:pt>
                <c:pt idx="848">
                  <c:v>1.7565495108499363E-2</c:v>
                </c:pt>
                <c:pt idx="849">
                  <c:v>1.7669164899984935E-2</c:v>
                </c:pt>
                <c:pt idx="850">
                  <c:v>1.7878969295566094E-2</c:v>
                </c:pt>
                <c:pt idx="851">
                  <c:v>1.8091043462163725E-2</c:v>
                </c:pt>
                <c:pt idx="852">
                  <c:v>1.8237259577631448E-2</c:v>
                </c:pt>
                <c:pt idx="853">
                  <c:v>1.8319060327712577E-2</c:v>
                </c:pt>
                <c:pt idx="854">
                  <c:v>1.8327491573927546E-2</c:v>
                </c:pt>
                <c:pt idx="855">
                  <c:v>1.844503615393478E-2</c:v>
                </c:pt>
                <c:pt idx="856">
                  <c:v>1.867593495546771E-2</c:v>
                </c:pt>
                <c:pt idx="857">
                  <c:v>1.948654385789711E-2</c:v>
                </c:pt>
                <c:pt idx="858">
                  <c:v>1.9600837420313155E-2</c:v>
                </c:pt>
                <c:pt idx="859">
                  <c:v>1.9798288895728433E-2</c:v>
                </c:pt>
                <c:pt idx="860">
                  <c:v>1.9854299273504239E-2</c:v>
                </c:pt>
                <c:pt idx="861">
                  <c:v>2.0243633681957363E-2</c:v>
                </c:pt>
                <c:pt idx="862">
                  <c:v>2.0737529294272861E-2</c:v>
                </c:pt>
                <c:pt idx="863">
                  <c:v>2.0763451594007165E-2</c:v>
                </c:pt>
                <c:pt idx="864">
                  <c:v>2.0950883160708145E-2</c:v>
                </c:pt>
                <c:pt idx="865">
                  <c:v>2.108929398610826E-2</c:v>
                </c:pt>
                <c:pt idx="866">
                  <c:v>2.1361843412364578E-2</c:v>
                </c:pt>
                <c:pt idx="867">
                  <c:v>2.1459106380717685E-2</c:v>
                </c:pt>
                <c:pt idx="868">
                  <c:v>2.1492673794341499E-2</c:v>
                </c:pt>
                <c:pt idx="869">
                  <c:v>2.1705637267814382E-2</c:v>
                </c:pt>
                <c:pt idx="870">
                  <c:v>2.1907011844888302E-2</c:v>
                </c:pt>
                <c:pt idx="871">
                  <c:v>2.213755609299195E-2</c:v>
                </c:pt>
                <c:pt idx="872">
                  <c:v>2.2227136485867049E-2</c:v>
                </c:pt>
                <c:pt idx="873">
                  <c:v>2.226921736973958E-2</c:v>
                </c:pt>
                <c:pt idx="874">
                  <c:v>2.2498911445893555E-2</c:v>
                </c:pt>
                <c:pt idx="875">
                  <c:v>2.2571108795091277E-2</c:v>
                </c:pt>
                <c:pt idx="876">
                  <c:v>2.2787155957814775E-2</c:v>
                </c:pt>
                <c:pt idx="877">
                  <c:v>2.3069719684841949E-2</c:v>
                </c:pt>
                <c:pt idx="878">
                  <c:v>2.3381571347727004E-2</c:v>
                </c:pt>
                <c:pt idx="879">
                  <c:v>2.3385509053127862E-2</c:v>
                </c:pt>
                <c:pt idx="880">
                  <c:v>2.3454971112244039E-2</c:v>
                </c:pt>
                <c:pt idx="881">
                  <c:v>2.3518827561929356E-2</c:v>
                </c:pt>
                <c:pt idx="882">
                  <c:v>2.3535280603198316E-2</c:v>
                </c:pt>
                <c:pt idx="883">
                  <c:v>2.3556706355009283E-2</c:v>
                </c:pt>
                <c:pt idx="884">
                  <c:v>2.356628789897286E-2</c:v>
                </c:pt>
                <c:pt idx="885">
                  <c:v>2.3627547935063831E-2</c:v>
                </c:pt>
                <c:pt idx="886">
                  <c:v>2.3649057845602783E-2</c:v>
                </c:pt>
                <c:pt idx="887">
                  <c:v>2.365690263602005E-2</c:v>
                </c:pt>
                <c:pt idx="888">
                  <c:v>2.3804511681987606E-2</c:v>
                </c:pt>
                <c:pt idx="889">
                  <c:v>2.3849519041710204E-2</c:v>
                </c:pt>
                <c:pt idx="890">
                  <c:v>2.3968171475530653E-2</c:v>
                </c:pt>
                <c:pt idx="891">
                  <c:v>2.4044878557671012E-2</c:v>
                </c:pt>
                <c:pt idx="892">
                  <c:v>2.4063446813102018E-2</c:v>
                </c:pt>
                <c:pt idx="893">
                  <c:v>2.4185838889991373E-2</c:v>
                </c:pt>
                <c:pt idx="894">
                  <c:v>2.4216201237550194E-2</c:v>
                </c:pt>
                <c:pt idx="895">
                  <c:v>2.4469114732998093E-2</c:v>
                </c:pt>
                <c:pt idx="896">
                  <c:v>2.4732461355540636E-2</c:v>
                </c:pt>
                <c:pt idx="897">
                  <c:v>2.4746593408394801E-2</c:v>
                </c:pt>
                <c:pt idx="898">
                  <c:v>2.4925802600108682E-2</c:v>
                </c:pt>
                <c:pt idx="899">
                  <c:v>2.50827014110655E-2</c:v>
                </c:pt>
                <c:pt idx="900">
                  <c:v>2.5247856766554833E-2</c:v>
                </c:pt>
                <c:pt idx="901">
                  <c:v>2.548720668085025E-2</c:v>
                </c:pt>
                <c:pt idx="902">
                  <c:v>2.5731952112550971E-2</c:v>
                </c:pt>
                <c:pt idx="903">
                  <c:v>2.5818808441499641E-2</c:v>
                </c:pt>
                <c:pt idx="904">
                  <c:v>2.5853078668731655E-2</c:v>
                </c:pt>
                <c:pt idx="905">
                  <c:v>2.5923849163746127E-2</c:v>
                </c:pt>
                <c:pt idx="906">
                  <c:v>2.6087158960990564E-2</c:v>
                </c:pt>
                <c:pt idx="907">
                  <c:v>2.6136052567593993E-2</c:v>
                </c:pt>
                <c:pt idx="908">
                  <c:v>2.6242230249636123E-2</c:v>
                </c:pt>
                <c:pt idx="909">
                  <c:v>2.6283508363007968E-2</c:v>
                </c:pt>
                <c:pt idx="910">
                  <c:v>2.6485606229016412E-2</c:v>
                </c:pt>
                <c:pt idx="911">
                  <c:v>2.653992031751784E-2</c:v>
                </c:pt>
                <c:pt idx="912">
                  <c:v>2.6609248488853154E-2</c:v>
                </c:pt>
                <c:pt idx="913">
                  <c:v>2.6915474188813293E-2</c:v>
                </c:pt>
                <c:pt idx="914">
                  <c:v>2.696724545626239E-2</c:v>
                </c:pt>
                <c:pt idx="915">
                  <c:v>2.6997023562159939E-2</c:v>
                </c:pt>
                <c:pt idx="916">
                  <c:v>2.7030033411117815E-2</c:v>
                </c:pt>
                <c:pt idx="917">
                  <c:v>2.7042263469496675E-2</c:v>
                </c:pt>
                <c:pt idx="918">
                  <c:v>2.7050233240458965E-2</c:v>
                </c:pt>
                <c:pt idx="919">
                  <c:v>2.8252235257235803E-2</c:v>
                </c:pt>
                <c:pt idx="920">
                  <c:v>2.8348101110694301E-2</c:v>
                </c:pt>
                <c:pt idx="921">
                  <c:v>2.8630742477702142E-2</c:v>
                </c:pt>
                <c:pt idx="922">
                  <c:v>2.8698192000916833E-2</c:v>
                </c:pt>
                <c:pt idx="923">
                  <c:v>2.8712305862271137E-2</c:v>
                </c:pt>
                <c:pt idx="924">
                  <c:v>2.8851248556861719E-2</c:v>
                </c:pt>
                <c:pt idx="925">
                  <c:v>2.9138331978202814E-2</c:v>
                </c:pt>
                <c:pt idx="926">
                  <c:v>2.925356612070118E-2</c:v>
                </c:pt>
                <c:pt idx="927">
                  <c:v>2.9308390075087232E-2</c:v>
                </c:pt>
                <c:pt idx="928">
                  <c:v>2.9479664929126681E-2</c:v>
                </c:pt>
                <c:pt idx="929">
                  <c:v>2.9991076923892024E-2</c:v>
                </c:pt>
                <c:pt idx="930">
                  <c:v>3.019850382180031E-2</c:v>
                </c:pt>
                <c:pt idx="931">
                  <c:v>3.0335569145570673E-2</c:v>
                </c:pt>
                <c:pt idx="932">
                  <c:v>3.1639843140851553E-2</c:v>
                </c:pt>
                <c:pt idx="933">
                  <c:v>3.1842479117813127E-2</c:v>
                </c:pt>
                <c:pt idx="934">
                  <c:v>3.1879145355730998E-2</c:v>
                </c:pt>
                <c:pt idx="935">
                  <c:v>3.2089294070942742E-2</c:v>
                </c:pt>
                <c:pt idx="936">
                  <c:v>3.2155444479576634E-2</c:v>
                </c:pt>
                <c:pt idx="937">
                  <c:v>3.2161763235791341E-2</c:v>
                </c:pt>
                <c:pt idx="938">
                  <c:v>3.2462632904980637E-2</c:v>
                </c:pt>
                <c:pt idx="939">
                  <c:v>3.2731650293773507E-2</c:v>
                </c:pt>
                <c:pt idx="940">
                  <c:v>3.3097794640796707E-2</c:v>
                </c:pt>
                <c:pt idx="941">
                  <c:v>3.3155126621238651E-2</c:v>
                </c:pt>
                <c:pt idx="942">
                  <c:v>3.3418080661348881E-2</c:v>
                </c:pt>
                <c:pt idx="943">
                  <c:v>3.3634335600197574E-2</c:v>
                </c:pt>
                <c:pt idx="944">
                  <c:v>3.3719672865714756E-2</c:v>
                </c:pt>
                <c:pt idx="945">
                  <c:v>3.3927969917499468E-2</c:v>
                </c:pt>
                <c:pt idx="946">
                  <c:v>3.3950737699527167E-2</c:v>
                </c:pt>
                <c:pt idx="947">
                  <c:v>3.405755159610635E-2</c:v>
                </c:pt>
                <c:pt idx="948">
                  <c:v>3.4339213465500507E-2</c:v>
                </c:pt>
                <c:pt idx="949">
                  <c:v>3.4575990168107751E-2</c:v>
                </c:pt>
                <c:pt idx="950">
                  <c:v>3.4675432823291885E-2</c:v>
                </c:pt>
                <c:pt idx="951">
                  <c:v>3.4706157063579324E-2</c:v>
                </c:pt>
                <c:pt idx="952">
                  <c:v>3.4726955611915855E-2</c:v>
                </c:pt>
                <c:pt idx="953">
                  <c:v>3.484711918326866E-2</c:v>
                </c:pt>
                <c:pt idx="954">
                  <c:v>3.5040307467029241E-2</c:v>
                </c:pt>
                <c:pt idx="955">
                  <c:v>3.5282705741097931E-2</c:v>
                </c:pt>
                <c:pt idx="956">
                  <c:v>3.5345798489714753E-2</c:v>
                </c:pt>
                <c:pt idx="957">
                  <c:v>3.5652321261068209E-2</c:v>
                </c:pt>
                <c:pt idx="958">
                  <c:v>3.5789463805043109E-2</c:v>
                </c:pt>
                <c:pt idx="959">
                  <c:v>3.5828757037961623E-2</c:v>
                </c:pt>
                <c:pt idx="960">
                  <c:v>3.6014962473700507E-2</c:v>
                </c:pt>
                <c:pt idx="961">
                  <c:v>3.6058941879787199E-2</c:v>
                </c:pt>
                <c:pt idx="962">
                  <c:v>3.6237136530587577E-2</c:v>
                </c:pt>
                <c:pt idx="963">
                  <c:v>3.6409915249567104E-2</c:v>
                </c:pt>
                <c:pt idx="964">
                  <c:v>3.6700794972034601E-2</c:v>
                </c:pt>
                <c:pt idx="965">
                  <c:v>3.6880986302307406E-2</c:v>
                </c:pt>
                <c:pt idx="966">
                  <c:v>3.7083718014031319E-2</c:v>
                </c:pt>
                <c:pt idx="967">
                  <c:v>3.7219280598378646E-2</c:v>
                </c:pt>
                <c:pt idx="968">
                  <c:v>3.7463510096813479E-2</c:v>
                </c:pt>
                <c:pt idx="969">
                  <c:v>3.7900839081999038E-2</c:v>
                </c:pt>
                <c:pt idx="970">
                  <c:v>3.8047950900136129E-2</c:v>
                </c:pt>
                <c:pt idx="971">
                  <c:v>3.816222619759202E-2</c:v>
                </c:pt>
                <c:pt idx="972">
                  <c:v>3.8234039222515781E-2</c:v>
                </c:pt>
                <c:pt idx="973">
                  <c:v>3.8572788386900925E-2</c:v>
                </c:pt>
                <c:pt idx="974">
                  <c:v>3.8684493928201391E-2</c:v>
                </c:pt>
                <c:pt idx="975">
                  <c:v>3.9228087759125785E-2</c:v>
                </c:pt>
                <c:pt idx="976">
                  <c:v>3.9258853438752794E-2</c:v>
                </c:pt>
                <c:pt idx="977">
                  <c:v>3.945770538399529E-2</c:v>
                </c:pt>
                <c:pt idx="978">
                  <c:v>3.9936155535031048E-2</c:v>
                </c:pt>
                <c:pt idx="979">
                  <c:v>3.9949136267804164E-2</c:v>
                </c:pt>
                <c:pt idx="980">
                  <c:v>4.018365395404544E-2</c:v>
                </c:pt>
                <c:pt idx="981">
                  <c:v>4.0798164508203172E-2</c:v>
                </c:pt>
                <c:pt idx="982">
                  <c:v>4.0897629000927693E-2</c:v>
                </c:pt>
                <c:pt idx="983">
                  <c:v>4.1198481795561293E-2</c:v>
                </c:pt>
                <c:pt idx="984">
                  <c:v>4.1590027752704373E-2</c:v>
                </c:pt>
                <c:pt idx="985">
                  <c:v>4.1964596767911644E-2</c:v>
                </c:pt>
                <c:pt idx="986">
                  <c:v>4.1991582900813285E-2</c:v>
                </c:pt>
                <c:pt idx="987">
                  <c:v>4.2322692968531084E-2</c:v>
                </c:pt>
                <c:pt idx="988">
                  <c:v>4.3122239760805314E-2</c:v>
                </c:pt>
                <c:pt idx="989">
                  <c:v>4.3610101582215795E-2</c:v>
                </c:pt>
                <c:pt idx="990">
                  <c:v>4.3778838957109656E-2</c:v>
                </c:pt>
                <c:pt idx="991">
                  <c:v>4.4141203391503903E-2</c:v>
                </c:pt>
                <c:pt idx="992">
                  <c:v>4.4183716715679111E-2</c:v>
                </c:pt>
                <c:pt idx="993">
                  <c:v>4.4213049611528277E-2</c:v>
                </c:pt>
                <c:pt idx="994">
                  <c:v>4.4257961450909988E-2</c:v>
                </c:pt>
                <c:pt idx="995">
                  <c:v>4.4293404207451204E-2</c:v>
                </c:pt>
                <c:pt idx="996">
                  <c:v>4.4361690037362678E-2</c:v>
                </c:pt>
                <c:pt idx="997">
                  <c:v>4.4434670047768243E-2</c:v>
                </c:pt>
                <c:pt idx="998">
                  <c:v>4.5574956675300093E-2</c:v>
                </c:pt>
                <c:pt idx="999">
                  <c:v>4.604182881359975E-2</c:v>
                </c:pt>
                <c:pt idx="1000">
                  <c:v>4.6223030431804091E-2</c:v>
                </c:pt>
                <c:pt idx="1001">
                  <c:v>4.6240781459445657E-2</c:v>
                </c:pt>
                <c:pt idx="1002">
                  <c:v>4.6507246711922204E-2</c:v>
                </c:pt>
                <c:pt idx="1003">
                  <c:v>4.6589711929243549E-2</c:v>
                </c:pt>
                <c:pt idx="1004">
                  <c:v>4.6721015197533688E-2</c:v>
                </c:pt>
                <c:pt idx="1005">
                  <c:v>4.680744340416787E-2</c:v>
                </c:pt>
                <c:pt idx="1006">
                  <c:v>4.6941515255383592E-2</c:v>
                </c:pt>
                <c:pt idx="1007">
                  <c:v>4.7044433199857849E-2</c:v>
                </c:pt>
                <c:pt idx="1008">
                  <c:v>4.7513498601581716E-2</c:v>
                </c:pt>
                <c:pt idx="1009">
                  <c:v>4.8029536054002619E-2</c:v>
                </c:pt>
                <c:pt idx="1010">
                  <c:v>4.8546288375760582E-2</c:v>
                </c:pt>
                <c:pt idx="1011">
                  <c:v>4.8764716653977302E-2</c:v>
                </c:pt>
                <c:pt idx="1012">
                  <c:v>4.8961263209577055E-2</c:v>
                </c:pt>
                <c:pt idx="1013">
                  <c:v>4.9075170428523052E-2</c:v>
                </c:pt>
                <c:pt idx="1014">
                  <c:v>4.9630853255735019E-2</c:v>
                </c:pt>
                <c:pt idx="1015">
                  <c:v>4.9804158996753056E-2</c:v>
                </c:pt>
                <c:pt idx="1016">
                  <c:v>5.0376628931815048E-2</c:v>
                </c:pt>
                <c:pt idx="1017">
                  <c:v>5.1366847465487808E-2</c:v>
                </c:pt>
                <c:pt idx="1018">
                  <c:v>5.1515978087594561E-2</c:v>
                </c:pt>
                <c:pt idx="1019">
                  <c:v>5.1801111266684075E-2</c:v>
                </c:pt>
                <c:pt idx="1020">
                  <c:v>5.1966487163099373E-2</c:v>
                </c:pt>
                <c:pt idx="1021">
                  <c:v>5.2715614550251644E-2</c:v>
                </c:pt>
                <c:pt idx="1022">
                  <c:v>5.3365025505229369E-2</c:v>
                </c:pt>
                <c:pt idx="1023">
                  <c:v>5.4337769880021369E-2</c:v>
                </c:pt>
                <c:pt idx="1024">
                  <c:v>5.4754782117887757E-2</c:v>
                </c:pt>
                <c:pt idx="1025">
                  <c:v>5.4895521371804534E-2</c:v>
                </c:pt>
                <c:pt idx="1026">
                  <c:v>5.5254521004599155E-2</c:v>
                </c:pt>
                <c:pt idx="1027">
                  <c:v>5.5284260233065652E-2</c:v>
                </c:pt>
                <c:pt idx="1028">
                  <c:v>5.5677954397992835E-2</c:v>
                </c:pt>
                <c:pt idx="1029">
                  <c:v>5.624947224009702E-2</c:v>
                </c:pt>
                <c:pt idx="1030">
                  <c:v>5.6474882624865441E-2</c:v>
                </c:pt>
                <c:pt idx="1031">
                  <c:v>5.7101302422687183E-2</c:v>
                </c:pt>
                <c:pt idx="1032">
                  <c:v>5.7626861092302306E-2</c:v>
                </c:pt>
                <c:pt idx="1033">
                  <c:v>5.7673741321223826E-2</c:v>
                </c:pt>
                <c:pt idx="1034">
                  <c:v>5.77451207507238E-2</c:v>
                </c:pt>
                <c:pt idx="1035">
                  <c:v>5.7763498798998114E-2</c:v>
                </c:pt>
                <c:pt idx="1036">
                  <c:v>5.7778421059055063E-2</c:v>
                </c:pt>
                <c:pt idx="1037">
                  <c:v>5.8808489060083957E-2</c:v>
                </c:pt>
                <c:pt idx="1038">
                  <c:v>5.9379489770094551E-2</c:v>
                </c:pt>
                <c:pt idx="1039">
                  <c:v>5.9640875367290236E-2</c:v>
                </c:pt>
                <c:pt idx="1040">
                  <c:v>5.9893991738590557E-2</c:v>
                </c:pt>
                <c:pt idx="1041">
                  <c:v>5.9962117887380373E-2</c:v>
                </c:pt>
                <c:pt idx="1042">
                  <c:v>5.9987977190985475E-2</c:v>
                </c:pt>
                <c:pt idx="1043">
                  <c:v>6.0442294455924639E-2</c:v>
                </c:pt>
                <c:pt idx="1044">
                  <c:v>6.0549175223968632E-2</c:v>
                </c:pt>
                <c:pt idx="1045">
                  <c:v>6.0801124219587166E-2</c:v>
                </c:pt>
                <c:pt idx="1046">
                  <c:v>6.1656428437913746E-2</c:v>
                </c:pt>
                <c:pt idx="1047">
                  <c:v>6.2275713267240462E-2</c:v>
                </c:pt>
                <c:pt idx="1048">
                  <c:v>6.2686476291901272E-2</c:v>
                </c:pt>
                <c:pt idx="1049">
                  <c:v>6.2817689103894736E-2</c:v>
                </c:pt>
                <c:pt idx="1050">
                  <c:v>6.3165866835220186E-2</c:v>
                </c:pt>
                <c:pt idx="1051">
                  <c:v>6.3305796007227855E-2</c:v>
                </c:pt>
                <c:pt idx="1052">
                  <c:v>6.3473837187075333E-2</c:v>
                </c:pt>
                <c:pt idx="1053">
                  <c:v>6.4403269581905509E-2</c:v>
                </c:pt>
                <c:pt idx="1054">
                  <c:v>6.519004944379958E-2</c:v>
                </c:pt>
                <c:pt idx="1055">
                  <c:v>6.5442852111398775E-2</c:v>
                </c:pt>
                <c:pt idx="1056">
                  <c:v>6.5657962169465595E-2</c:v>
                </c:pt>
                <c:pt idx="1057">
                  <c:v>6.594647557683686E-2</c:v>
                </c:pt>
                <c:pt idx="1058">
                  <c:v>6.6173079431351312E-2</c:v>
                </c:pt>
                <c:pt idx="1059">
                  <c:v>6.6463221313711074E-2</c:v>
                </c:pt>
                <c:pt idx="1060">
                  <c:v>6.6619508113205939E-2</c:v>
                </c:pt>
                <c:pt idx="1061">
                  <c:v>6.7914034369891851E-2</c:v>
                </c:pt>
                <c:pt idx="1062">
                  <c:v>6.8063726186323947E-2</c:v>
                </c:pt>
                <c:pt idx="1063">
                  <c:v>6.8175102226774698E-2</c:v>
                </c:pt>
                <c:pt idx="1064">
                  <c:v>6.8339841019550818E-2</c:v>
                </c:pt>
                <c:pt idx="1065">
                  <c:v>6.858319651922784E-2</c:v>
                </c:pt>
                <c:pt idx="1066">
                  <c:v>7.0244855648720961E-2</c:v>
                </c:pt>
                <c:pt idx="1067">
                  <c:v>7.0734807492726759E-2</c:v>
                </c:pt>
                <c:pt idx="1068">
                  <c:v>7.1132105831444137E-2</c:v>
                </c:pt>
                <c:pt idx="1069">
                  <c:v>7.1785724634811254E-2</c:v>
                </c:pt>
                <c:pt idx="1070">
                  <c:v>7.2715514922805369E-2</c:v>
                </c:pt>
                <c:pt idx="1071">
                  <c:v>7.3140410338055517E-2</c:v>
                </c:pt>
                <c:pt idx="1072">
                  <c:v>7.3316958571188154E-2</c:v>
                </c:pt>
                <c:pt idx="1073">
                  <c:v>7.3968711860731062E-2</c:v>
                </c:pt>
                <c:pt idx="1074">
                  <c:v>7.6775037961139936E-2</c:v>
                </c:pt>
                <c:pt idx="1075">
                  <c:v>7.7500416585166931E-2</c:v>
                </c:pt>
                <c:pt idx="1076">
                  <c:v>7.874695881145044E-2</c:v>
                </c:pt>
                <c:pt idx="1077">
                  <c:v>7.9278444809574466E-2</c:v>
                </c:pt>
                <c:pt idx="1078">
                  <c:v>7.9313654592510829E-2</c:v>
                </c:pt>
                <c:pt idx="1079">
                  <c:v>8.0832370354000815E-2</c:v>
                </c:pt>
                <c:pt idx="1080">
                  <c:v>8.1648912111188299E-2</c:v>
                </c:pt>
                <c:pt idx="1081">
                  <c:v>8.1827741604854509E-2</c:v>
                </c:pt>
                <c:pt idx="1082">
                  <c:v>8.1845945964621691E-2</c:v>
                </c:pt>
                <c:pt idx="1083">
                  <c:v>8.2617280286948092E-2</c:v>
                </c:pt>
                <c:pt idx="1084">
                  <c:v>8.2923640896410689E-2</c:v>
                </c:pt>
                <c:pt idx="1085">
                  <c:v>8.2962188079022781E-2</c:v>
                </c:pt>
                <c:pt idx="1086">
                  <c:v>8.3083405463369786E-2</c:v>
                </c:pt>
                <c:pt idx="1087">
                  <c:v>8.4264347114185512E-2</c:v>
                </c:pt>
                <c:pt idx="1088">
                  <c:v>8.5325390894013253E-2</c:v>
                </c:pt>
                <c:pt idx="1089">
                  <c:v>8.7169546056145464E-2</c:v>
                </c:pt>
                <c:pt idx="1090">
                  <c:v>8.7993404825610355E-2</c:v>
                </c:pt>
                <c:pt idx="1091">
                  <c:v>8.9110884305100058E-2</c:v>
                </c:pt>
                <c:pt idx="1092">
                  <c:v>9.0860263241254319E-2</c:v>
                </c:pt>
                <c:pt idx="1093">
                  <c:v>9.1655789179185376E-2</c:v>
                </c:pt>
                <c:pt idx="1094">
                  <c:v>9.1874423944375394E-2</c:v>
                </c:pt>
                <c:pt idx="1095">
                  <c:v>9.2805865406035082E-2</c:v>
                </c:pt>
                <c:pt idx="1096">
                  <c:v>9.331486572796166E-2</c:v>
                </c:pt>
                <c:pt idx="1097">
                  <c:v>9.4316830261394202E-2</c:v>
                </c:pt>
                <c:pt idx="1098">
                  <c:v>9.6722778644495744E-2</c:v>
                </c:pt>
                <c:pt idx="1099">
                  <c:v>9.7773847550001847E-2</c:v>
                </c:pt>
                <c:pt idx="1100">
                  <c:v>9.8310346736219856E-2</c:v>
                </c:pt>
                <c:pt idx="1101">
                  <c:v>9.8719493097353533E-2</c:v>
                </c:pt>
                <c:pt idx="1102">
                  <c:v>9.9028834098476182E-2</c:v>
                </c:pt>
                <c:pt idx="1103">
                  <c:v>9.9966841932882744E-2</c:v>
                </c:pt>
                <c:pt idx="1104">
                  <c:v>0.10031191975070897</c:v>
                </c:pt>
                <c:pt idx="1105">
                  <c:v>0.10439804379126694</c:v>
                </c:pt>
                <c:pt idx="1106">
                  <c:v>0.10496048983620909</c:v>
                </c:pt>
                <c:pt idx="1107">
                  <c:v>0.10708500298200888</c:v>
                </c:pt>
                <c:pt idx="1108">
                  <c:v>0.10809386679068211</c:v>
                </c:pt>
                <c:pt idx="1109">
                  <c:v>0.10870183426794711</c:v>
                </c:pt>
                <c:pt idx="1110">
                  <c:v>0.10872512268122136</c:v>
                </c:pt>
                <c:pt idx="1111">
                  <c:v>0.11067758193507871</c:v>
                </c:pt>
                <c:pt idx="1112">
                  <c:v>0.11124239680621059</c:v>
                </c:pt>
                <c:pt idx="1113">
                  <c:v>0.11144215840520744</c:v>
                </c:pt>
                <c:pt idx="1114">
                  <c:v>0.11242278926852123</c:v>
                </c:pt>
                <c:pt idx="1115">
                  <c:v>0.11257448574156115</c:v>
                </c:pt>
                <c:pt idx="1116">
                  <c:v>0.11312034003890403</c:v>
                </c:pt>
                <c:pt idx="1117">
                  <c:v>0.11425422263609164</c:v>
                </c:pt>
                <c:pt idx="1118">
                  <c:v>0.11529368057014722</c:v>
                </c:pt>
                <c:pt idx="1119">
                  <c:v>0.11539535604310913</c:v>
                </c:pt>
                <c:pt idx="1120">
                  <c:v>0.11612675135630517</c:v>
                </c:pt>
                <c:pt idx="1121">
                  <c:v>0.1162535752266769</c:v>
                </c:pt>
                <c:pt idx="1122">
                  <c:v>0.11625651128846304</c:v>
                </c:pt>
                <c:pt idx="1123">
                  <c:v>0.1163072653830568</c:v>
                </c:pt>
                <c:pt idx="1124">
                  <c:v>0.11648852361008721</c:v>
                </c:pt>
                <c:pt idx="1125">
                  <c:v>0.11726775783358789</c:v>
                </c:pt>
                <c:pt idx="1126">
                  <c:v>0.11730561092701919</c:v>
                </c:pt>
                <c:pt idx="1127">
                  <c:v>0.11795583925061237</c:v>
                </c:pt>
                <c:pt idx="1128">
                  <c:v>0.11831022585749906</c:v>
                </c:pt>
                <c:pt idx="1129">
                  <c:v>0.11893014329393736</c:v>
                </c:pt>
                <c:pt idx="1130">
                  <c:v>0.1202875709046225</c:v>
                </c:pt>
                <c:pt idx="1131">
                  <c:v>0.12099239698420661</c:v>
                </c:pt>
                <c:pt idx="1132">
                  <c:v>0.12139516424468866</c:v>
                </c:pt>
                <c:pt idx="1133">
                  <c:v>0.1228091042847268</c:v>
                </c:pt>
                <c:pt idx="1134">
                  <c:v>0.12292048135749667</c:v>
                </c:pt>
                <c:pt idx="1135">
                  <c:v>0.12292180456302049</c:v>
                </c:pt>
                <c:pt idx="1136">
                  <c:v>0.12379453275619312</c:v>
                </c:pt>
                <c:pt idx="1137">
                  <c:v>0.12692207745794803</c:v>
                </c:pt>
                <c:pt idx="1138">
                  <c:v>0.12806776036018164</c:v>
                </c:pt>
                <c:pt idx="1139">
                  <c:v>0.12992912538561541</c:v>
                </c:pt>
                <c:pt idx="1140">
                  <c:v>0.13079053380488403</c:v>
                </c:pt>
                <c:pt idx="1141">
                  <c:v>0.13137835988300139</c:v>
                </c:pt>
                <c:pt idx="1142">
                  <c:v>0.13236190136899495</c:v>
                </c:pt>
                <c:pt idx="1143">
                  <c:v>0.13341172318621375</c:v>
                </c:pt>
                <c:pt idx="1144">
                  <c:v>0.13718382659823192</c:v>
                </c:pt>
                <c:pt idx="1145">
                  <c:v>0.14123986390237775</c:v>
                </c:pt>
                <c:pt idx="1146">
                  <c:v>0.14485174610331453</c:v>
                </c:pt>
                <c:pt idx="1147">
                  <c:v>0.14525858892454835</c:v>
                </c:pt>
                <c:pt idx="1148">
                  <c:v>0.14725512764670157</c:v>
                </c:pt>
                <c:pt idx="1149">
                  <c:v>0.14854526623014408</c:v>
                </c:pt>
                <c:pt idx="1150">
                  <c:v>0.14951966914588866</c:v>
                </c:pt>
                <c:pt idx="1151">
                  <c:v>0.15113906712615233</c:v>
                </c:pt>
                <c:pt idx="1152">
                  <c:v>0.15420637067268217</c:v>
                </c:pt>
                <c:pt idx="1153">
                  <c:v>0.15474081968397968</c:v>
                </c:pt>
                <c:pt idx="1154">
                  <c:v>0.15516782246606908</c:v>
                </c:pt>
                <c:pt idx="1155">
                  <c:v>0.1554783882539823</c:v>
                </c:pt>
                <c:pt idx="1156">
                  <c:v>0.15693905772116068</c:v>
                </c:pt>
                <c:pt idx="1157">
                  <c:v>0.15861617041957743</c:v>
                </c:pt>
                <c:pt idx="1158">
                  <c:v>0.17067084435007018</c:v>
                </c:pt>
                <c:pt idx="1159">
                  <c:v>0.1712090414077494</c:v>
                </c:pt>
                <c:pt idx="1160">
                  <c:v>0.17168465771133867</c:v>
                </c:pt>
                <c:pt idx="1161">
                  <c:v>0.17226192270913998</c:v>
                </c:pt>
                <c:pt idx="1162">
                  <c:v>0.17579236350911742</c:v>
                </c:pt>
                <c:pt idx="1163">
                  <c:v>0.176319750912171</c:v>
                </c:pt>
                <c:pt idx="1164">
                  <c:v>0.17964849776571157</c:v>
                </c:pt>
                <c:pt idx="1165">
                  <c:v>0.18654247924838785</c:v>
                </c:pt>
                <c:pt idx="1166">
                  <c:v>0.1878663377720855</c:v>
                </c:pt>
                <c:pt idx="1167">
                  <c:v>0.18791961477269226</c:v>
                </c:pt>
                <c:pt idx="1168">
                  <c:v>0.20135488006360447</c:v>
                </c:pt>
                <c:pt idx="1169">
                  <c:v>0.20891372735979985</c:v>
                </c:pt>
                <c:pt idx="1170">
                  <c:v>0.21797065312279074</c:v>
                </c:pt>
                <c:pt idx="1171">
                  <c:v>0.21858802565532187</c:v>
                </c:pt>
                <c:pt idx="1172">
                  <c:v>0.23877928207447496</c:v>
                </c:pt>
                <c:pt idx="1173">
                  <c:v>0.24355563781261935</c:v>
                </c:pt>
                <c:pt idx="1174">
                  <c:v>0.25832882221551756</c:v>
                </c:pt>
                <c:pt idx="1175">
                  <c:v>0.25835140756407782</c:v>
                </c:pt>
                <c:pt idx="1176">
                  <c:v>0.25924637652030924</c:v>
                </c:pt>
                <c:pt idx="1177">
                  <c:v>0.28787818464140003</c:v>
                </c:pt>
                <c:pt idx="1178">
                  <c:v>0.30336109154097812</c:v>
                </c:pt>
                <c:pt idx="1179">
                  <c:v>0.30369991260884177</c:v>
                </c:pt>
                <c:pt idx="1180">
                  <c:v>0.32148217889383801</c:v>
                </c:pt>
                <c:pt idx="1181">
                  <c:v>0.32782961138991595</c:v>
                </c:pt>
                <c:pt idx="1182">
                  <c:v>0.38556897348757957</c:v>
                </c:pt>
                <c:pt idx="1183">
                  <c:v>0.44539361855629522</c:v>
                </c:pt>
                <c:pt idx="1184">
                  <c:v>0.46131980409722928</c:v>
                </c:pt>
                <c:pt idx="1185">
                  <c:v>0.51808349767566853</c:v>
                </c:pt>
                <c:pt idx="1186">
                  <c:v>0.51816850341754161</c:v>
                </c:pt>
                <c:pt idx="1187">
                  <c:v>0.51819985798556445</c:v>
                </c:pt>
              </c:numCache>
            </c:numRef>
          </c:xVal>
          <c:yVal>
            <c:numRef>
              <c:f>Sheet1!$F$2:$F$1189</c:f>
              <c:numCache>
                <c:formatCode>General</c:formatCode>
                <c:ptCount val="1188"/>
                <c:pt idx="0">
                  <c:v>5.9654902379953248E-4</c:v>
                </c:pt>
                <c:pt idx="1">
                  <c:v>3.0935051668734789E-3</c:v>
                </c:pt>
                <c:pt idx="2">
                  <c:v>4.0178077125026636E-3</c:v>
                </c:pt>
                <c:pt idx="3">
                  <c:v>5.2967850383868849E-3</c:v>
                </c:pt>
                <c:pt idx="4">
                  <c:v>8.4844182622625282E-3</c:v>
                </c:pt>
                <c:pt idx="5">
                  <c:v>8.9810346717112237E-3</c:v>
                </c:pt>
                <c:pt idx="6">
                  <c:v>1.2944504422112542E-2</c:v>
                </c:pt>
                <c:pt idx="7">
                  <c:v>4.0463079705503412E-2</c:v>
                </c:pt>
                <c:pt idx="8">
                  <c:v>4.2289938425616833E-2</c:v>
                </c:pt>
                <c:pt idx="9">
                  <c:v>4.6119869746736153E-2</c:v>
                </c:pt>
                <c:pt idx="10">
                  <c:v>5.4619602240681277E-2</c:v>
                </c:pt>
                <c:pt idx="11">
                  <c:v>5.6922116582485936E-2</c:v>
                </c:pt>
                <c:pt idx="12">
                  <c:v>6.1290339640619397E-2</c:v>
                </c:pt>
                <c:pt idx="13">
                  <c:v>7.9188698489291831E-2</c:v>
                </c:pt>
                <c:pt idx="14">
                  <c:v>8.6562596812280762E-2</c:v>
                </c:pt>
                <c:pt idx="15">
                  <c:v>9.3247076606286991E-2</c:v>
                </c:pt>
                <c:pt idx="16">
                  <c:v>0.10855801223728924</c:v>
                </c:pt>
                <c:pt idx="17">
                  <c:v>0.1169157830652381</c:v>
                </c:pt>
                <c:pt idx="18">
                  <c:v>0.12083324541116351</c:v>
                </c:pt>
                <c:pt idx="19">
                  <c:v>0.16537691393951248</c:v>
                </c:pt>
                <c:pt idx="20">
                  <c:v>0.20304768201889684</c:v>
                </c:pt>
                <c:pt idx="21">
                  <c:v>0.20502543724027286</c:v>
                </c:pt>
                <c:pt idx="22">
                  <c:v>0.29300337722467085</c:v>
                </c:pt>
                <c:pt idx="23">
                  <c:v>0.30573146954693914</c:v>
                </c:pt>
                <c:pt idx="24">
                  <c:v>0.31585797920516512</c:v>
                </c:pt>
                <c:pt idx="25">
                  <c:v>0.32115500497561922</c:v>
                </c:pt>
                <c:pt idx="26">
                  <c:v>0.33300322966178941</c:v>
                </c:pt>
                <c:pt idx="27">
                  <c:v>0.3618282385664604</c:v>
                </c:pt>
                <c:pt idx="28">
                  <c:v>0.36349251970223112</c:v>
                </c:pt>
                <c:pt idx="29">
                  <c:v>0.36541030386286161</c:v>
                </c:pt>
                <c:pt idx="30">
                  <c:v>0.37913959595744173</c:v>
                </c:pt>
                <c:pt idx="31">
                  <c:v>0.3978112954429448</c:v>
                </c:pt>
                <c:pt idx="32">
                  <c:v>0.42146537812451473</c:v>
                </c:pt>
                <c:pt idx="33">
                  <c:v>0.42985695261006918</c:v>
                </c:pt>
                <c:pt idx="34">
                  <c:v>0.44670210850131226</c:v>
                </c:pt>
                <c:pt idx="35">
                  <c:v>0.46425937038077497</c:v>
                </c:pt>
                <c:pt idx="36">
                  <c:v>0.53104272584632284</c:v>
                </c:pt>
                <c:pt idx="37">
                  <c:v>0.54840525332672274</c:v>
                </c:pt>
                <c:pt idx="38">
                  <c:v>0.59204941729661564</c:v>
                </c:pt>
                <c:pt idx="39">
                  <c:v>0.64802867867672476</c:v>
                </c:pt>
                <c:pt idx="40">
                  <c:v>0.79299825894725673</c:v>
                </c:pt>
                <c:pt idx="41">
                  <c:v>0.83161567987754859</c:v>
                </c:pt>
                <c:pt idx="42">
                  <c:v>0.8439963041523717</c:v>
                </c:pt>
                <c:pt idx="43">
                  <c:v>0.85892710681687956</c:v>
                </c:pt>
                <c:pt idx="44">
                  <c:v>0.90909344503827927</c:v>
                </c:pt>
                <c:pt idx="45">
                  <c:v>1.0016182930804562</c:v>
                </c:pt>
                <c:pt idx="46">
                  <c:v>1.0502691668518078</c:v>
                </c:pt>
                <c:pt idx="47">
                  <c:v>1.0785300124165453</c:v>
                </c:pt>
                <c:pt idx="48">
                  <c:v>1.0961179482563155</c:v>
                </c:pt>
                <c:pt idx="49">
                  <c:v>1.1447271166777935</c:v>
                </c:pt>
                <c:pt idx="50">
                  <c:v>1.2227689415283081</c:v>
                </c:pt>
                <c:pt idx="51">
                  <c:v>1.2270296428651783</c:v>
                </c:pt>
                <c:pt idx="52">
                  <c:v>1.2511331986645642</c:v>
                </c:pt>
                <c:pt idx="53">
                  <c:v>1.2569075999682429</c:v>
                </c:pt>
                <c:pt idx="54">
                  <c:v>1.2692748533736031</c:v>
                </c:pt>
                <c:pt idx="55">
                  <c:v>1.2871550582610203</c:v>
                </c:pt>
                <c:pt idx="56">
                  <c:v>1.2873431219936979</c:v>
                </c:pt>
                <c:pt idx="57">
                  <c:v>1.314812614202933</c:v>
                </c:pt>
                <c:pt idx="58">
                  <c:v>1.3528593894169174</c:v>
                </c:pt>
                <c:pt idx="59">
                  <c:v>1.4031059378797088</c:v>
                </c:pt>
                <c:pt idx="60">
                  <c:v>1.4054076678205809</c:v>
                </c:pt>
                <c:pt idx="61">
                  <c:v>1.4525822295577644</c:v>
                </c:pt>
                <c:pt idx="62">
                  <c:v>1.5433770803295441</c:v>
                </c:pt>
                <c:pt idx="63">
                  <c:v>1.546371861849313</c:v>
                </c:pt>
                <c:pt idx="64">
                  <c:v>1.5551462022025802</c:v>
                </c:pt>
                <c:pt idx="65">
                  <c:v>1.649656946935917</c:v>
                </c:pt>
                <c:pt idx="66">
                  <c:v>1.6755201214448778</c:v>
                </c:pt>
                <c:pt idx="67">
                  <c:v>1.7365031973780785</c:v>
                </c:pt>
                <c:pt idx="68">
                  <c:v>1.7578214509175638</c:v>
                </c:pt>
                <c:pt idx="69">
                  <c:v>1.7620712967201762</c:v>
                </c:pt>
                <c:pt idx="70">
                  <c:v>1.7806914880243518</c:v>
                </c:pt>
                <c:pt idx="71">
                  <c:v>1.7851661378234922</c:v>
                </c:pt>
                <c:pt idx="72">
                  <c:v>1.7988462864246106</c:v>
                </c:pt>
                <c:pt idx="73">
                  <c:v>1.818831848171901</c:v>
                </c:pt>
                <c:pt idx="74">
                  <c:v>1.8551326934021013</c:v>
                </c:pt>
                <c:pt idx="75">
                  <c:v>1.8715063017846472</c:v>
                </c:pt>
                <c:pt idx="76">
                  <c:v>1.8718519096661561</c:v>
                </c:pt>
                <c:pt idx="77">
                  <c:v>1.8934741383718214</c:v>
                </c:pt>
                <c:pt idx="78">
                  <c:v>1.9194503259838565</c:v>
                </c:pt>
                <c:pt idx="79">
                  <c:v>1.936541940652714</c:v>
                </c:pt>
                <c:pt idx="80">
                  <c:v>1.9377416710139115</c:v>
                </c:pt>
                <c:pt idx="81">
                  <c:v>1.9447197988245293</c:v>
                </c:pt>
                <c:pt idx="82">
                  <c:v>1.9473070411474322</c:v>
                </c:pt>
                <c:pt idx="83">
                  <c:v>1.9537721343125245</c:v>
                </c:pt>
                <c:pt idx="84">
                  <c:v>1.9653269126012187</c:v>
                </c:pt>
                <c:pt idx="85">
                  <c:v>1.9721830119341641</c:v>
                </c:pt>
                <c:pt idx="86">
                  <c:v>1.9745779286756984</c:v>
                </c:pt>
                <c:pt idx="87">
                  <c:v>2.0004973583212622</c:v>
                </c:pt>
                <c:pt idx="88">
                  <c:v>2.0075716737903035</c:v>
                </c:pt>
                <c:pt idx="89">
                  <c:v>2.0231299929480739</c:v>
                </c:pt>
                <c:pt idx="90">
                  <c:v>2.0462234761325924</c:v>
                </c:pt>
                <c:pt idx="91">
                  <c:v>2.0545924546360332</c:v>
                </c:pt>
                <c:pt idx="92">
                  <c:v>2.0733173759966999</c:v>
                </c:pt>
                <c:pt idx="93">
                  <c:v>2.0835139127490603</c:v>
                </c:pt>
                <c:pt idx="94">
                  <c:v>2.1132547594806823</c:v>
                </c:pt>
                <c:pt idx="95">
                  <c:v>2.1399360471130362</c:v>
                </c:pt>
                <c:pt idx="96">
                  <c:v>2.1511320766160535</c:v>
                </c:pt>
                <c:pt idx="97">
                  <c:v>2.1710395388124555</c:v>
                </c:pt>
                <c:pt idx="98">
                  <c:v>2.2320989464198799</c:v>
                </c:pt>
                <c:pt idx="99">
                  <c:v>2.261340339876087</c:v>
                </c:pt>
                <c:pt idx="100">
                  <c:v>2.2625607193230577</c:v>
                </c:pt>
                <c:pt idx="101">
                  <c:v>2.276466248609232</c:v>
                </c:pt>
                <c:pt idx="102">
                  <c:v>2.2844821682211869</c:v>
                </c:pt>
                <c:pt idx="103">
                  <c:v>2.2853965669311718</c:v>
                </c:pt>
                <c:pt idx="104">
                  <c:v>2.3217003990564864</c:v>
                </c:pt>
                <c:pt idx="105">
                  <c:v>2.3221327594343628</c:v>
                </c:pt>
                <c:pt idx="106">
                  <c:v>2.3536947794419514</c:v>
                </c:pt>
                <c:pt idx="107">
                  <c:v>2.3586506308627837</c:v>
                </c:pt>
                <c:pt idx="108">
                  <c:v>2.3664630680337897</c:v>
                </c:pt>
                <c:pt idx="109">
                  <c:v>2.371224992855423</c:v>
                </c:pt>
                <c:pt idx="110">
                  <c:v>2.3760373825012486</c:v>
                </c:pt>
                <c:pt idx="111">
                  <c:v>2.3784251525024174</c:v>
                </c:pt>
                <c:pt idx="112">
                  <c:v>2.4032130762278907</c:v>
                </c:pt>
                <c:pt idx="113">
                  <c:v>2.4150818622708368</c:v>
                </c:pt>
                <c:pt idx="114">
                  <c:v>2.4262249764014556</c:v>
                </c:pt>
                <c:pt idx="115">
                  <c:v>2.4321391335636253</c:v>
                </c:pt>
                <c:pt idx="116">
                  <c:v>2.4918340627414417</c:v>
                </c:pt>
                <c:pt idx="117">
                  <c:v>2.492510226740253</c:v>
                </c:pt>
                <c:pt idx="118">
                  <c:v>2.5023419887630354</c:v>
                </c:pt>
                <c:pt idx="119">
                  <c:v>2.5110800531678477</c:v>
                </c:pt>
                <c:pt idx="120">
                  <c:v>2.5331581250229007</c:v>
                </c:pt>
                <c:pt idx="121">
                  <c:v>2.5368655751460953</c:v>
                </c:pt>
                <c:pt idx="122">
                  <c:v>2.5475911542168697</c:v>
                </c:pt>
                <c:pt idx="123">
                  <c:v>2.5567865872941509</c:v>
                </c:pt>
                <c:pt idx="124">
                  <c:v>2.5682701606820908</c:v>
                </c:pt>
                <c:pt idx="125">
                  <c:v>2.5785534093477311</c:v>
                </c:pt>
                <c:pt idx="126">
                  <c:v>2.5802783392382969</c:v>
                </c:pt>
                <c:pt idx="127">
                  <c:v>2.5889843296172277</c:v>
                </c:pt>
                <c:pt idx="128">
                  <c:v>2.6001645508350202</c:v>
                </c:pt>
                <c:pt idx="129">
                  <c:v>2.6023345032033052</c:v>
                </c:pt>
                <c:pt idx="130">
                  <c:v>2.6053403438322649</c:v>
                </c:pt>
                <c:pt idx="131">
                  <c:v>2.6084141720879526</c:v>
                </c:pt>
                <c:pt idx="132">
                  <c:v>2.6092223227836824</c:v>
                </c:pt>
                <c:pt idx="133">
                  <c:v>2.610204565203635</c:v>
                </c:pt>
                <c:pt idx="134">
                  <c:v>2.6428435570018056</c:v>
                </c:pt>
                <c:pt idx="135">
                  <c:v>2.6456319193693094</c:v>
                </c:pt>
                <c:pt idx="136">
                  <c:v>2.6456507357075623</c:v>
                </c:pt>
                <c:pt idx="137">
                  <c:v>2.6581568862192992</c:v>
                </c:pt>
                <c:pt idx="138">
                  <c:v>2.6590142949697548</c:v>
                </c:pt>
                <c:pt idx="139">
                  <c:v>2.6737322899358515</c:v>
                </c:pt>
                <c:pt idx="140">
                  <c:v>2.6854153238565592</c:v>
                </c:pt>
                <c:pt idx="141">
                  <c:v>2.6907842801443347</c:v>
                </c:pt>
                <c:pt idx="142">
                  <c:v>2.6942620794197745</c:v>
                </c:pt>
                <c:pt idx="143">
                  <c:v>2.7218470891415825</c:v>
                </c:pt>
                <c:pt idx="144">
                  <c:v>2.7367275512697216</c:v>
                </c:pt>
                <c:pt idx="145">
                  <c:v>2.7421298451198299</c:v>
                </c:pt>
                <c:pt idx="146">
                  <c:v>2.759472794331657</c:v>
                </c:pt>
                <c:pt idx="147">
                  <c:v>2.760149085101844</c:v>
                </c:pt>
                <c:pt idx="148">
                  <c:v>2.7845279216132934</c:v>
                </c:pt>
                <c:pt idx="149">
                  <c:v>2.7935642565526249</c:v>
                </c:pt>
                <c:pt idx="150">
                  <c:v>2.795667398454599</c:v>
                </c:pt>
                <c:pt idx="151">
                  <c:v>2.8005318771112484</c:v>
                </c:pt>
                <c:pt idx="152">
                  <c:v>2.8125882209815547</c:v>
                </c:pt>
                <c:pt idx="153">
                  <c:v>2.8140730783410075</c:v>
                </c:pt>
                <c:pt idx="154">
                  <c:v>2.8315917581308487</c:v>
                </c:pt>
                <c:pt idx="155">
                  <c:v>2.8529954334563303</c:v>
                </c:pt>
                <c:pt idx="156">
                  <c:v>2.8571088690949682</c:v>
                </c:pt>
                <c:pt idx="157">
                  <c:v>2.8607599532748869</c:v>
                </c:pt>
                <c:pt idx="158">
                  <c:v>2.8647384431955514</c:v>
                </c:pt>
                <c:pt idx="159">
                  <c:v>2.8779442664556272</c:v>
                </c:pt>
                <c:pt idx="160">
                  <c:v>2.8933687744956522</c:v>
                </c:pt>
                <c:pt idx="161">
                  <c:v>2.9009517882750178</c:v>
                </c:pt>
                <c:pt idx="162">
                  <c:v>2.9066025801332391</c:v>
                </c:pt>
                <c:pt idx="163">
                  <c:v>2.9070236581879731</c:v>
                </c:pt>
                <c:pt idx="164">
                  <c:v>2.9130932843296264</c:v>
                </c:pt>
                <c:pt idx="165">
                  <c:v>2.9223181221399193</c:v>
                </c:pt>
                <c:pt idx="166">
                  <c:v>2.9305324650393514</c:v>
                </c:pt>
                <c:pt idx="167">
                  <c:v>2.9306978519421865</c:v>
                </c:pt>
                <c:pt idx="168">
                  <c:v>2.9401652220432695</c:v>
                </c:pt>
                <c:pt idx="169">
                  <c:v>2.9401939710793386</c:v>
                </c:pt>
                <c:pt idx="170">
                  <c:v>2.9424531210092817</c:v>
                </c:pt>
                <c:pt idx="171">
                  <c:v>2.9444660641111433</c:v>
                </c:pt>
                <c:pt idx="172">
                  <c:v>2.9512777744056495</c:v>
                </c:pt>
                <c:pt idx="173">
                  <c:v>2.9715514012776176</c:v>
                </c:pt>
                <c:pt idx="174">
                  <c:v>2.9794319292794769</c:v>
                </c:pt>
                <c:pt idx="175">
                  <c:v>2.9826944401415609</c:v>
                </c:pt>
                <c:pt idx="176">
                  <c:v>2.9851537776874695</c:v>
                </c:pt>
                <c:pt idx="177">
                  <c:v>2.9857652830385817</c:v>
                </c:pt>
                <c:pt idx="178">
                  <c:v>2.9956523533325092</c:v>
                </c:pt>
                <c:pt idx="179">
                  <c:v>2.9970288624863084</c:v>
                </c:pt>
                <c:pt idx="180">
                  <c:v>3.0010578227168381</c:v>
                </c:pt>
                <c:pt idx="181">
                  <c:v>3.0070850790572914</c:v>
                </c:pt>
                <c:pt idx="182">
                  <c:v>3.0105992534845125</c:v>
                </c:pt>
                <c:pt idx="183">
                  <c:v>3.0120432617213142</c:v>
                </c:pt>
                <c:pt idx="184">
                  <c:v>3.0170693315549943</c:v>
                </c:pt>
                <c:pt idx="185">
                  <c:v>3.021082468467291</c:v>
                </c:pt>
                <c:pt idx="186">
                  <c:v>3.0237424113616687</c:v>
                </c:pt>
                <c:pt idx="187">
                  <c:v>3.0253275863533196</c:v>
                </c:pt>
                <c:pt idx="188">
                  <c:v>3.0350029144434107</c:v>
                </c:pt>
                <c:pt idx="189">
                  <c:v>3.0486481283150022</c:v>
                </c:pt>
                <c:pt idx="190">
                  <c:v>3.0499194098985898</c:v>
                </c:pt>
                <c:pt idx="191">
                  <c:v>3.0519901115886476</c:v>
                </c:pt>
                <c:pt idx="192">
                  <c:v>3.0522988915256466</c:v>
                </c:pt>
                <c:pt idx="193">
                  <c:v>3.0574539526997353</c:v>
                </c:pt>
                <c:pt idx="194">
                  <c:v>3.0611222829688818</c:v>
                </c:pt>
                <c:pt idx="195">
                  <c:v>3.0630403088784881</c:v>
                </c:pt>
                <c:pt idx="196">
                  <c:v>3.0651976550142814</c:v>
                </c:pt>
                <c:pt idx="197">
                  <c:v>3.0680114506158573</c:v>
                </c:pt>
                <c:pt idx="198">
                  <c:v>3.0681784965904328</c:v>
                </c:pt>
                <c:pt idx="199">
                  <c:v>3.0700763042488162</c:v>
                </c:pt>
                <c:pt idx="200">
                  <c:v>3.078155473912521</c:v>
                </c:pt>
                <c:pt idx="201">
                  <c:v>3.0793492093074031</c:v>
                </c:pt>
                <c:pt idx="202">
                  <c:v>3.0804118770877706</c:v>
                </c:pt>
                <c:pt idx="203">
                  <c:v>3.088074275123188</c:v>
                </c:pt>
                <c:pt idx="204">
                  <c:v>3.089924602019265</c:v>
                </c:pt>
                <c:pt idx="205">
                  <c:v>3.0973749296854036</c:v>
                </c:pt>
                <c:pt idx="206">
                  <c:v>3.0982361156169365</c:v>
                </c:pt>
                <c:pt idx="207">
                  <c:v>3.1105509922895962</c:v>
                </c:pt>
                <c:pt idx="208">
                  <c:v>3.1108309841123463</c:v>
                </c:pt>
                <c:pt idx="209">
                  <c:v>3.1116076578345142</c:v>
                </c:pt>
                <c:pt idx="210">
                  <c:v>3.1128455223937594</c:v>
                </c:pt>
                <c:pt idx="211">
                  <c:v>3.1159562343851759</c:v>
                </c:pt>
                <c:pt idx="212">
                  <c:v>3.1161757326988977</c:v>
                </c:pt>
                <c:pt idx="213">
                  <c:v>3.1218731781131539</c:v>
                </c:pt>
                <c:pt idx="214">
                  <c:v>3.1236294140314196</c:v>
                </c:pt>
                <c:pt idx="215">
                  <c:v>3.1272995433867448</c:v>
                </c:pt>
                <c:pt idx="216">
                  <c:v>3.1307955080324881</c:v>
                </c:pt>
                <c:pt idx="217">
                  <c:v>3.135577122369027</c:v>
                </c:pt>
                <c:pt idx="218">
                  <c:v>3.1386863282294657</c:v>
                </c:pt>
                <c:pt idx="219">
                  <c:v>3.1414080302167271</c:v>
                </c:pt>
                <c:pt idx="220">
                  <c:v>3.1418367199006156</c:v>
                </c:pt>
                <c:pt idx="221">
                  <c:v>3.1436854112914525</c:v>
                </c:pt>
                <c:pt idx="222">
                  <c:v>3.1479378133152029</c:v>
                </c:pt>
                <c:pt idx="223">
                  <c:v>3.1519553870459038</c:v>
                </c:pt>
                <c:pt idx="224">
                  <c:v>3.1550622985113894</c:v>
                </c:pt>
                <c:pt idx="225">
                  <c:v>3.1569710480039976</c:v>
                </c:pt>
                <c:pt idx="226">
                  <c:v>3.1607851358922159</c:v>
                </c:pt>
                <c:pt idx="227">
                  <c:v>3.1622724644391949</c:v>
                </c:pt>
                <c:pt idx="228">
                  <c:v>3.1654007288937454</c:v>
                </c:pt>
                <c:pt idx="229">
                  <c:v>3.1677097578524149</c:v>
                </c:pt>
                <c:pt idx="230">
                  <c:v>3.1714046587880862</c:v>
                </c:pt>
                <c:pt idx="231">
                  <c:v>3.1753151934792028</c:v>
                </c:pt>
                <c:pt idx="232">
                  <c:v>3.1777925280005919</c:v>
                </c:pt>
                <c:pt idx="233">
                  <c:v>3.1923805481417058</c:v>
                </c:pt>
                <c:pt idx="234">
                  <c:v>3.1924241683497945</c:v>
                </c:pt>
                <c:pt idx="235">
                  <c:v>3.1938575022992062</c:v>
                </c:pt>
                <c:pt idx="236">
                  <c:v>3.195510327793686</c:v>
                </c:pt>
                <c:pt idx="237">
                  <c:v>3.1957314585916117</c:v>
                </c:pt>
                <c:pt idx="238">
                  <c:v>3.1960344240731704</c:v>
                </c:pt>
                <c:pt idx="239">
                  <c:v>3.2015534448189857</c:v>
                </c:pt>
                <c:pt idx="240">
                  <c:v>3.2048729911880618</c:v>
                </c:pt>
                <c:pt idx="241">
                  <c:v>3.2050196230553167</c:v>
                </c:pt>
                <c:pt idx="242">
                  <c:v>3.2080284714841509</c:v>
                </c:pt>
                <c:pt idx="243">
                  <c:v>3.2112834168360709</c:v>
                </c:pt>
                <c:pt idx="244">
                  <c:v>3.2130275226385088</c:v>
                </c:pt>
                <c:pt idx="245">
                  <c:v>3.2131487587104792</c:v>
                </c:pt>
                <c:pt idx="246">
                  <c:v>3.2196286069306708</c:v>
                </c:pt>
                <c:pt idx="247">
                  <c:v>3.2216810869166697</c:v>
                </c:pt>
                <c:pt idx="248">
                  <c:v>3.2219116851686644</c:v>
                </c:pt>
                <c:pt idx="249">
                  <c:v>3.2220309789518771</c:v>
                </c:pt>
                <c:pt idx="250">
                  <c:v>3.2258754709499731</c:v>
                </c:pt>
                <c:pt idx="251">
                  <c:v>3.2262581629949016</c:v>
                </c:pt>
                <c:pt idx="252">
                  <c:v>3.2263755074988358</c:v>
                </c:pt>
                <c:pt idx="253">
                  <c:v>3.2264288509548167</c:v>
                </c:pt>
                <c:pt idx="254">
                  <c:v>3.2270243591608767</c:v>
                </c:pt>
                <c:pt idx="255">
                  <c:v>3.2308895150781445</c:v>
                </c:pt>
                <c:pt idx="256">
                  <c:v>3.232259160987152</c:v>
                </c:pt>
                <c:pt idx="257">
                  <c:v>3.2329501384144441</c:v>
                </c:pt>
                <c:pt idx="258">
                  <c:v>3.233680383161103</c:v>
                </c:pt>
                <c:pt idx="259">
                  <c:v>3.2345893168119666</c:v>
                </c:pt>
                <c:pt idx="260">
                  <c:v>3.2367741131406813</c:v>
                </c:pt>
                <c:pt idx="261">
                  <c:v>3.2374159935090816</c:v>
                </c:pt>
                <c:pt idx="262">
                  <c:v>3.2379282523329365</c:v>
                </c:pt>
                <c:pt idx="263">
                  <c:v>3.2379773484225667</c:v>
                </c:pt>
                <c:pt idx="264">
                  <c:v>3.2419634204548795</c:v>
                </c:pt>
                <c:pt idx="265">
                  <c:v>3.2421811827386207</c:v>
                </c:pt>
                <c:pt idx="266">
                  <c:v>3.243902260659294</c:v>
                </c:pt>
                <c:pt idx="267">
                  <c:v>3.2464997326826004</c:v>
                </c:pt>
                <c:pt idx="268">
                  <c:v>3.2470379067420905</c:v>
                </c:pt>
                <c:pt idx="269">
                  <c:v>3.2506316624862297</c:v>
                </c:pt>
                <c:pt idx="270">
                  <c:v>3.250695107280225</c:v>
                </c:pt>
                <c:pt idx="271">
                  <c:v>3.2570713401179341</c:v>
                </c:pt>
                <c:pt idx="272">
                  <c:v>3.2571550286492958</c:v>
                </c:pt>
                <c:pt idx="273">
                  <c:v>3.257155045162198</c:v>
                </c:pt>
                <c:pt idx="274">
                  <c:v>3.2575254412255781</c:v>
                </c:pt>
                <c:pt idx="275">
                  <c:v>3.2585688540400044</c:v>
                </c:pt>
                <c:pt idx="276">
                  <c:v>3.2599958938594091</c:v>
                </c:pt>
                <c:pt idx="277">
                  <c:v>3.2605024117502568</c:v>
                </c:pt>
                <c:pt idx="278">
                  <c:v>3.2613016783745721</c:v>
                </c:pt>
                <c:pt idx="279">
                  <c:v>3.26147559228363</c:v>
                </c:pt>
                <c:pt idx="280">
                  <c:v>3.2625217262540156</c:v>
                </c:pt>
                <c:pt idx="281">
                  <c:v>3.2671070226927457</c:v>
                </c:pt>
                <c:pt idx="282">
                  <c:v>3.2673768552344988</c:v>
                </c:pt>
                <c:pt idx="283">
                  <c:v>3.2676392506456429</c:v>
                </c:pt>
                <c:pt idx="284">
                  <c:v>3.2690178127073128</c:v>
                </c:pt>
                <c:pt idx="285">
                  <c:v>3.2706146714129383</c:v>
                </c:pt>
                <c:pt idx="286">
                  <c:v>3.2710953861291259</c:v>
                </c:pt>
                <c:pt idx="287">
                  <c:v>3.2763157426808283</c:v>
                </c:pt>
                <c:pt idx="288">
                  <c:v>3.2763263984373059</c:v>
                </c:pt>
                <c:pt idx="289">
                  <c:v>3.2766130236589235</c:v>
                </c:pt>
                <c:pt idx="290">
                  <c:v>3.276987542012562</c:v>
                </c:pt>
                <c:pt idx="291">
                  <c:v>3.277244774714096</c:v>
                </c:pt>
                <c:pt idx="292">
                  <c:v>3.2778178446538915</c:v>
                </c:pt>
                <c:pt idx="293">
                  <c:v>3.2779418252961281</c:v>
                </c:pt>
                <c:pt idx="294">
                  <c:v>3.2787340337847239</c:v>
                </c:pt>
                <c:pt idx="295">
                  <c:v>3.2803033074022929</c:v>
                </c:pt>
                <c:pt idx="296">
                  <c:v>3.2803480946733634</c:v>
                </c:pt>
                <c:pt idx="297">
                  <c:v>3.2803504806647452</c:v>
                </c:pt>
                <c:pt idx="298">
                  <c:v>3.2810480124563122</c:v>
                </c:pt>
                <c:pt idx="299">
                  <c:v>3.2813806328969344</c:v>
                </c:pt>
                <c:pt idx="300">
                  <c:v>3.281501768411919</c:v>
                </c:pt>
                <c:pt idx="301">
                  <c:v>3.2824113251275437</c:v>
                </c:pt>
                <c:pt idx="302">
                  <c:v>3.2824987522628968</c:v>
                </c:pt>
                <c:pt idx="303">
                  <c:v>3.2831264789166403</c:v>
                </c:pt>
                <c:pt idx="304">
                  <c:v>3.2837173889569602</c:v>
                </c:pt>
                <c:pt idx="305">
                  <c:v>3.2858950278256445</c:v>
                </c:pt>
                <c:pt idx="306">
                  <c:v>3.2866162378519306</c:v>
                </c:pt>
                <c:pt idx="307">
                  <c:v>3.2875145580831795</c:v>
                </c:pt>
                <c:pt idx="308">
                  <c:v>3.2883997467915616</c:v>
                </c:pt>
                <c:pt idx="309">
                  <c:v>3.2884353913298705</c:v>
                </c:pt>
                <c:pt idx="310">
                  <c:v>3.2887196974169939</c:v>
                </c:pt>
                <c:pt idx="311">
                  <c:v>3.2893865751472253</c:v>
                </c:pt>
                <c:pt idx="312">
                  <c:v>3.2894885055645924</c:v>
                </c:pt>
                <c:pt idx="313">
                  <c:v>3.2895861631023662</c:v>
                </c:pt>
                <c:pt idx="314">
                  <c:v>3.2895931961956291</c:v>
                </c:pt>
                <c:pt idx="315">
                  <c:v>3.289657151838425</c:v>
                </c:pt>
                <c:pt idx="316">
                  <c:v>3.2896754583045604</c:v>
                </c:pt>
                <c:pt idx="317">
                  <c:v>3.2900303703575915</c:v>
                </c:pt>
                <c:pt idx="318">
                  <c:v>3.290227665146888</c:v>
                </c:pt>
                <c:pt idx="319">
                  <c:v>3.2902948516663044</c:v>
                </c:pt>
                <c:pt idx="320">
                  <c:v>3.2906225488418759</c:v>
                </c:pt>
                <c:pt idx="321">
                  <c:v>3.2906247931368573</c:v>
                </c:pt>
                <c:pt idx="322">
                  <c:v>3.2913233850301333</c:v>
                </c:pt>
                <c:pt idx="323">
                  <c:v>3.2920988743047643</c:v>
                </c:pt>
                <c:pt idx="324">
                  <c:v>3.2925775602912224</c:v>
                </c:pt>
                <c:pt idx="325">
                  <c:v>3.2927476920638217</c:v>
                </c:pt>
                <c:pt idx="326">
                  <c:v>3.2939081822993743</c:v>
                </c:pt>
                <c:pt idx="327">
                  <c:v>3.2939399113489283</c:v>
                </c:pt>
                <c:pt idx="328">
                  <c:v>3.2946702419906742</c:v>
                </c:pt>
                <c:pt idx="329">
                  <c:v>3.2962650179494744</c:v>
                </c:pt>
                <c:pt idx="330">
                  <c:v>3.2963921226421107</c:v>
                </c:pt>
                <c:pt idx="331">
                  <c:v>3.2970705590311211</c:v>
                </c:pt>
                <c:pt idx="332">
                  <c:v>3.2982440052004378</c:v>
                </c:pt>
                <c:pt idx="333">
                  <c:v>3.2985870618307418</c:v>
                </c:pt>
                <c:pt idx="334">
                  <c:v>3.2985956860025296</c:v>
                </c:pt>
                <c:pt idx="335">
                  <c:v>3.2987864819194099</c:v>
                </c:pt>
                <c:pt idx="336">
                  <c:v>3.2988343978298005</c:v>
                </c:pt>
                <c:pt idx="337">
                  <c:v>3.298890709704275</c:v>
                </c:pt>
                <c:pt idx="338">
                  <c:v>3.2998320827775882</c:v>
                </c:pt>
                <c:pt idx="339">
                  <c:v>3.3000624680859278</c:v>
                </c:pt>
                <c:pt idx="340">
                  <c:v>3.3002061880021172</c:v>
                </c:pt>
                <c:pt idx="341">
                  <c:v>3.3003028605849973</c:v>
                </c:pt>
                <c:pt idx="342">
                  <c:v>3.300453784623969</c:v>
                </c:pt>
                <c:pt idx="343">
                  <c:v>3.300641054670213</c:v>
                </c:pt>
                <c:pt idx="344">
                  <c:v>3.3013618572047507</c:v>
                </c:pt>
                <c:pt idx="345">
                  <c:v>3.3015771887449659</c:v>
                </c:pt>
                <c:pt idx="346">
                  <c:v>3.3022520566567097</c:v>
                </c:pt>
                <c:pt idx="347">
                  <c:v>3.3023774169654829</c:v>
                </c:pt>
                <c:pt idx="348">
                  <c:v>3.3028698858265719</c:v>
                </c:pt>
                <c:pt idx="349">
                  <c:v>3.3030052903074534</c:v>
                </c:pt>
                <c:pt idx="350">
                  <c:v>3.3033366214555318</c:v>
                </c:pt>
                <c:pt idx="351">
                  <c:v>3.3033374584068294</c:v>
                </c:pt>
                <c:pt idx="352">
                  <c:v>3.3040419290577132</c:v>
                </c:pt>
                <c:pt idx="353">
                  <c:v>3.3041190725553835</c:v>
                </c:pt>
                <c:pt idx="354">
                  <c:v>3.3041582397003721</c:v>
                </c:pt>
                <c:pt idx="355">
                  <c:v>3.3043131179562124</c:v>
                </c:pt>
                <c:pt idx="356">
                  <c:v>3.3047945554677653</c:v>
                </c:pt>
                <c:pt idx="357">
                  <c:v>3.3050952291907687</c:v>
                </c:pt>
                <c:pt idx="358">
                  <c:v>3.3052478010251645</c:v>
                </c:pt>
                <c:pt idx="359">
                  <c:v>3.3055369546027107</c:v>
                </c:pt>
                <c:pt idx="360">
                  <c:v>3.3060780811700745</c:v>
                </c:pt>
                <c:pt idx="361">
                  <c:v>3.306524323023301</c:v>
                </c:pt>
                <c:pt idx="362">
                  <c:v>3.3067377229076009</c:v>
                </c:pt>
                <c:pt idx="363">
                  <c:v>3.3069505415486846</c:v>
                </c:pt>
                <c:pt idx="364">
                  <c:v>3.3072133843912108</c:v>
                </c:pt>
                <c:pt idx="365">
                  <c:v>3.3075856406569213</c:v>
                </c:pt>
                <c:pt idx="366">
                  <c:v>3.3077965235197579</c:v>
                </c:pt>
                <c:pt idx="367">
                  <c:v>3.3083083161635947</c:v>
                </c:pt>
                <c:pt idx="368">
                  <c:v>3.3083977476845581</c:v>
                </c:pt>
                <c:pt idx="369">
                  <c:v>3.3097722402780954</c:v>
                </c:pt>
                <c:pt idx="370">
                  <c:v>3.3103670335331663</c:v>
                </c:pt>
                <c:pt idx="371">
                  <c:v>3.3109741679182232</c:v>
                </c:pt>
                <c:pt idx="372">
                  <c:v>3.3110355131760891</c:v>
                </c:pt>
                <c:pt idx="373">
                  <c:v>3.3114796554707109</c:v>
                </c:pt>
                <c:pt idx="374">
                  <c:v>3.3116043595470348</c:v>
                </c:pt>
                <c:pt idx="375">
                  <c:v>3.3121510504167118</c:v>
                </c:pt>
                <c:pt idx="376">
                  <c:v>3.312190406929425</c:v>
                </c:pt>
                <c:pt idx="377">
                  <c:v>3.3128125955166881</c:v>
                </c:pt>
                <c:pt idx="378">
                  <c:v>3.3129040576180784</c:v>
                </c:pt>
                <c:pt idx="379">
                  <c:v>3.3130858725320449</c:v>
                </c:pt>
                <c:pt idx="380">
                  <c:v>3.3132017278139481</c:v>
                </c:pt>
                <c:pt idx="381">
                  <c:v>3.3134149513779141</c:v>
                </c:pt>
                <c:pt idx="382">
                  <c:v>3.313568221189219</c:v>
                </c:pt>
                <c:pt idx="383">
                  <c:v>3.3135878610646605</c:v>
                </c:pt>
                <c:pt idx="384">
                  <c:v>3.3141805458857423</c:v>
                </c:pt>
                <c:pt idx="385">
                  <c:v>3.3142821491574064</c:v>
                </c:pt>
                <c:pt idx="386">
                  <c:v>3.3146570214845572</c:v>
                </c:pt>
                <c:pt idx="387">
                  <c:v>3.3147643309736972</c:v>
                </c:pt>
                <c:pt idx="388">
                  <c:v>3.3148494514257805</c:v>
                </c:pt>
                <c:pt idx="389">
                  <c:v>3.3152510065951417</c:v>
                </c:pt>
                <c:pt idx="390">
                  <c:v>3.3152820386621094</c:v>
                </c:pt>
                <c:pt idx="391">
                  <c:v>3.3156762551513177</c:v>
                </c:pt>
                <c:pt idx="392">
                  <c:v>3.315754629675673</c:v>
                </c:pt>
                <c:pt idx="393">
                  <c:v>3.3158481354707257</c:v>
                </c:pt>
                <c:pt idx="394">
                  <c:v>3.3159723037712054</c:v>
                </c:pt>
                <c:pt idx="395">
                  <c:v>3.3161826236402949</c:v>
                </c:pt>
                <c:pt idx="396">
                  <c:v>3.3166943442092127</c:v>
                </c:pt>
                <c:pt idx="397">
                  <c:v>3.3171928601843716</c:v>
                </c:pt>
                <c:pt idx="398">
                  <c:v>3.3173973501141627</c:v>
                </c:pt>
                <c:pt idx="399">
                  <c:v>3.317885004183319</c:v>
                </c:pt>
                <c:pt idx="400">
                  <c:v>3.3181277314900548</c:v>
                </c:pt>
                <c:pt idx="401">
                  <c:v>3.3184305499557629</c:v>
                </c:pt>
                <c:pt idx="402">
                  <c:v>3.3190557879434248</c:v>
                </c:pt>
                <c:pt idx="403">
                  <c:v>3.3190961127622609</c:v>
                </c:pt>
                <c:pt idx="404">
                  <c:v>3.3193400848296784</c:v>
                </c:pt>
                <c:pt idx="405">
                  <c:v>3.319819425100333</c:v>
                </c:pt>
                <c:pt idx="406">
                  <c:v>3.3199759229446055</c:v>
                </c:pt>
                <c:pt idx="407">
                  <c:v>3.3202771153579431</c:v>
                </c:pt>
                <c:pt idx="408">
                  <c:v>3.3203659921532327</c:v>
                </c:pt>
                <c:pt idx="409">
                  <c:v>3.3205083161081017</c:v>
                </c:pt>
                <c:pt idx="410">
                  <c:v>3.3205214522380171</c:v>
                </c:pt>
                <c:pt idx="411">
                  <c:v>3.3207551812579572</c:v>
                </c:pt>
                <c:pt idx="412">
                  <c:v>3.3208625548482202</c:v>
                </c:pt>
                <c:pt idx="413">
                  <c:v>3.3211779313063943</c:v>
                </c:pt>
                <c:pt idx="414">
                  <c:v>3.3213256607380046</c:v>
                </c:pt>
                <c:pt idx="415">
                  <c:v>3.3214216927666738</c:v>
                </c:pt>
                <c:pt idx="416">
                  <c:v>3.3214594030665752</c:v>
                </c:pt>
                <c:pt idx="417">
                  <c:v>3.3218486547352049</c:v>
                </c:pt>
                <c:pt idx="418">
                  <c:v>3.322053589845912</c:v>
                </c:pt>
                <c:pt idx="419">
                  <c:v>3.3224230639853154</c:v>
                </c:pt>
                <c:pt idx="420">
                  <c:v>3.3225692564687557</c:v>
                </c:pt>
                <c:pt idx="421">
                  <c:v>3.3227218681953219</c:v>
                </c:pt>
                <c:pt idx="422">
                  <c:v>3.3227791044519406</c:v>
                </c:pt>
                <c:pt idx="423">
                  <c:v>3.3228066166592183</c:v>
                </c:pt>
                <c:pt idx="424">
                  <c:v>3.3228824466768487</c:v>
                </c:pt>
                <c:pt idx="425">
                  <c:v>3.3231964288850695</c:v>
                </c:pt>
                <c:pt idx="426">
                  <c:v>3.3232130614407307</c:v>
                </c:pt>
                <c:pt idx="427">
                  <c:v>3.3232703092589739</c:v>
                </c:pt>
                <c:pt idx="428">
                  <c:v>3.3233871282247334</c:v>
                </c:pt>
                <c:pt idx="429">
                  <c:v>3.323625833153439</c:v>
                </c:pt>
                <c:pt idx="430">
                  <c:v>3.3237190744599063</c:v>
                </c:pt>
                <c:pt idx="431">
                  <c:v>3.3238295294667646</c:v>
                </c:pt>
                <c:pt idx="432">
                  <c:v>3.3239361114190831</c:v>
                </c:pt>
                <c:pt idx="433">
                  <c:v>3.3241047035636977</c:v>
                </c:pt>
                <c:pt idx="434">
                  <c:v>3.3250072752078745</c:v>
                </c:pt>
                <c:pt idx="435">
                  <c:v>3.3252114315905761</c:v>
                </c:pt>
                <c:pt idx="436">
                  <c:v>3.3252759313509856</c:v>
                </c:pt>
                <c:pt idx="437">
                  <c:v>3.3254388363630167</c:v>
                </c:pt>
                <c:pt idx="438">
                  <c:v>3.3254915292252343</c:v>
                </c:pt>
                <c:pt idx="439">
                  <c:v>3.3255910756671949</c:v>
                </c:pt>
                <c:pt idx="440">
                  <c:v>3.3258206336350233</c:v>
                </c:pt>
                <c:pt idx="441">
                  <c:v>3.3260525981454396</c:v>
                </c:pt>
                <c:pt idx="442">
                  <c:v>3.3262414920751495</c:v>
                </c:pt>
                <c:pt idx="443">
                  <c:v>3.3265008697505216</c:v>
                </c:pt>
                <c:pt idx="444">
                  <c:v>3.3265493950184508</c:v>
                </c:pt>
                <c:pt idx="445">
                  <c:v>3.3267051179708171</c:v>
                </c:pt>
                <c:pt idx="446">
                  <c:v>3.3267057553433359</c:v>
                </c:pt>
                <c:pt idx="447">
                  <c:v>3.3267064845678096</c:v>
                </c:pt>
                <c:pt idx="448">
                  <c:v>3.3267451274520119</c:v>
                </c:pt>
                <c:pt idx="449">
                  <c:v>3.3268045686136993</c:v>
                </c:pt>
                <c:pt idx="450">
                  <c:v>3.3270510459877332</c:v>
                </c:pt>
                <c:pt idx="451">
                  <c:v>3.3270969348897022</c:v>
                </c:pt>
                <c:pt idx="452">
                  <c:v>3.3271110322954796</c:v>
                </c:pt>
                <c:pt idx="453">
                  <c:v>3.3272792289346333</c:v>
                </c:pt>
                <c:pt idx="454">
                  <c:v>3.3273678892842593</c:v>
                </c:pt>
                <c:pt idx="455">
                  <c:v>3.3274256237229665</c:v>
                </c:pt>
                <c:pt idx="456">
                  <c:v>3.3275397404547022</c:v>
                </c:pt>
                <c:pt idx="457">
                  <c:v>3.3275463974414752</c:v>
                </c:pt>
                <c:pt idx="458">
                  <c:v>3.3276290778206383</c:v>
                </c:pt>
                <c:pt idx="459">
                  <c:v>3.3276820926039115</c:v>
                </c:pt>
                <c:pt idx="460">
                  <c:v>3.3276838584992583</c:v>
                </c:pt>
                <c:pt idx="461">
                  <c:v>3.3277031178862182</c:v>
                </c:pt>
                <c:pt idx="462">
                  <c:v>3.3277561529535724</c:v>
                </c:pt>
                <c:pt idx="463">
                  <c:v>3.327787574662723</c:v>
                </c:pt>
                <c:pt idx="464">
                  <c:v>3.3279091253404411</c:v>
                </c:pt>
                <c:pt idx="465">
                  <c:v>3.3279195839789959</c:v>
                </c:pt>
                <c:pt idx="466">
                  <c:v>3.3279569033376104</c:v>
                </c:pt>
                <c:pt idx="467">
                  <c:v>3.3280345121899715</c:v>
                </c:pt>
                <c:pt idx="468">
                  <c:v>3.3280779147255122</c:v>
                </c:pt>
                <c:pt idx="469">
                  <c:v>3.3281549950231977</c:v>
                </c:pt>
                <c:pt idx="470">
                  <c:v>3.3282243934067006</c:v>
                </c:pt>
                <c:pt idx="471">
                  <c:v>3.328389893707612</c:v>
                </c:pt>
                <c:pt idx="472">
                  <c:v>3.328400480809119</c:v>
                </c:pt>
                <c:pt idx="473">
                  <c:v>3.3284422309795509</c:v>
                </c:pt>
                <c:pt idx="474">
                  <c:v>3.3284778900833474</c:v>
                </c:pt>
                <c:pt idx="475">
                  <c:v>3.3284918121564941</c:v>
                </c:pt>
                <c:pt idx="476">
                  <c:v>3.3285238140541886</c:v>
                </c:pt>
                <c:pt idx="477">
                  <c:v>3.3285946277389926</c:v>
                </c:pt>
                <c:pt idx="478">
                  <c:v>3.3286106520643175</c:v>
                </c:pt>
                <c:pt idx="479">
                  <c:v>3.3287284594474045</c:v>
                </c:pt>
                <c:pt idx="480">
                  <c:v>3.3287357894701533</c:v>
                </c:pt>
                <c:pt idx="481">
                  <c:v>3.3287378261622464</c:v>
                </c:pt>
                <c:pt idx="482">
                  <c:v>3.3287809469944953</c:v>
                </c:pt>
                <c:pt idx="483">
                  <c:v>3.3288634044979122</c:v>
                </c:pt>
                <c:pt idx="484">
                  <c:v>3.3288775049377262</c:v>
                </c:pt>
                <c:pt idx="485">
                  <c:v>3.3289435740867757</c:v>
                </c:pt>
                <c:pt idx="486">
                  <c:v>3.3290382864133048</c:v>
                </c:pt>
                <c:pt idx="487">
                  <c:v>3.3290451809240147</c:v>
                </c:pt>
                <c:pt idx="488">
                  <c:v>3.3290520632611429</c:v>
                </c:pt>
                <c:pt idx="489">
                  <c:v>3.3290574320739541</c:v>
                </c:pt>
                <c:pt idx="490">
                  <c:v>3.3290667007489581</c:v>
                </c:pt>
                <c:pt idx="491">
                  <c:v>3.329067191275962</c:v>
                </c:pt>
                <c:pt idx="492">
                  <c:v>3.3291119054980993</c:v>
                </c:pt>
                <c:pt idx="493">
                  <c:v>3.3291771071715912</c:v>
                </c:pt>
                <c:pt idx="494">
                  <c:v>3.3291860522819166</c:v>
                </c:pt>
                <c:pt idx="495">
                  <c:v>3.3291977468975995</c:v>
                </c:pt>
                <c:pt idx="496">
                  <c:v>3.3292055262826663</c:v>
                </c:pt>
                <c:pt idx="497">
                  <c:v>3.3292181046412317</c:v>
                </c:pt>
                <c:pt idx="498">
                  <c:v>3.329218907206406</c:v>
                </c:pt>
                <c:pt idx="499">
                  <c:v>3.329221642119093</c:v>
                </c:pt>
                <c:pt idx="500">
                  <c:v>3.329223192057666</c:v>
                </c:pt>
                <c:pt idx="501">
                  <c:v>3.3292240441551146</c:v>
                </c:pt>
                <c:pt idx="502">
                  <c:v>3.3292308786269746</c:v>
                </c:pt>
                <c:pt idx="503">
                  <c:v>3.3292314475333589</c:v>
                </c:pt>
                <c:pt idx="504">
                  <c:v>3.329232083984123</c:v>
                </c:pt>
                <c:pt idx="505">
                  <c:v>3.3292322504679253</c:v>
                </c:pt>
                <c:pt idx="506">
                  <c:v>3.3292324610909465</c:v>
                </c:pt>
                <c:pt idx="507">
                  <c:v>3.3292333487523202</c:v>
                </c:pt>
                <c:pt idx="508">
                  <c:v>3.3292336848507107</c:v>
                </c:pt>
                <c:pt idx="509">
                  <c:v>3.3292344853399798</c:v>
                </c:pt>
                <c:pt idx="510">
                  <c:v>3.3292318845804005</c:v>
                </c:pt>
                <c:pt idx="511">
                  <c:v>3.3292291159580354</c:v>
                </c:pt>
                <c:pt idx="512">
                  <c:v>3.3292284236795671</c:v>
                </c:pt>
                <c:pt idx="513">
                  <c:v>3.3292249776863545</c:v>
                </c:pt>
                <c:pt idx="514">
                  <c:v>3.3292155585387047</c:v>
                </c:pt>
                <c:pt idx="515">
                  <c:v>3.3292100420347501</c:v>
                </c:pt>
                <c:pt idx="516">
                  <c:v>3.3292022316727352</c:v>
                </c:pt>
                <c:pt idx="517">
                  <c:v>3.3291992872719236</c:v>
                </c:pt>
                <c:pt idx="518">
                  <c:v>3.3291978258517894</c:v>
                </c:pt>
                <c:pt idx="519">
                  <c:v>3.3291763290607714</c:v>
                </c:pt>
                <c:pt idx="520">
                  <c:v>3.3291471100392118</c:v>
                </c:pt>
                <c:pt idx="521">
                  <c:v>3.3291252942526777</c:v>
                </c:pt>
                <c:pt idx="522">
                  <c:v>3.3291164987294093</c:v>
                </c:pt>
                <c:pt idx="523">
                  <c:v>3.3290965301655255</c:v>
                </c:pt>
                <c:pt idx="524">
                  <c:v>3.329094490453798</c:v>
                </c:pt>
                <c:pt idx="525">
                  <c:v>3.3290786388385714</c:v>
                </c:pt>
                <c:pt idx="526">
                  <c:v>3.329061207264397</c:v>
                </c:pt>
                <c:pt idx="527">
                  <c:v>3.3290559892669864</c:v>
                </c:pt>
                <c:pt idx="528">
                  <c:v>3.3290559282580161</c:v>
                </c:pt>
                <c:pt idx="529">
                  <c:v>3.3290389355312575</c:v>
                </c:pt>
                <c:pt idx="530">
                  <c:v>3.3290235549526996</c:v>
                </c:pt>
                <c:pt idx="531">
                  <c:v>3.3289688785451776</c:v>
                </c:pt>
                <c:pt idx="532">
                  <c:v>3.3289549539150349</c:v>
                </c:pt>
                <c:pt idx="533">
                  <c:v>3.3289465848376563</c:v>
                </c:pt>
                <c:pt idx="534">
                  <c:v>3.3289314550689584</c:v>
                </c:pt>
                <c:pt idx="535">
                  <c:v>3.3289263157914837</c:v>
                </c:pt>
                <c:pt idx="536">
                  <c:v>3.3289229818697397</c:v>
                </c:pt>
                <c:pt idx="537">
                  <c:v>3.3288793234629979</c:v>
                </c:pt>
                <c:pt idx="538">
                  <c:v>3.328872626455976</c:v>
                </c:pt>
                <c:pt idx="539">
                  <c:v>3.3288572555698965</c:v>
                </c:pt>
                <c:pt idx="540">
                  <c:v>3.3288077123743625</c:v>
                </c:pt>
                <c:pt idx="541">
                  <c:v>3.3288031056447327</c:v>
                </c:pt>
                <c:pt idx="542">
                  <c:v>3.3288019407560325</c:v>
                </c:pt>
                <c:pt idx="543">
                  <c:v>3.3287976050820078</c:v>
                </c:pt>
                <c:pt idx="544">
                  <c:v>3.3287299608668519</c:v>
                </c:pt>
                <c:pt idx="545">
                  <c:v>3.3286805055933595</c:v>
                </c:pt>
                <c:pt idx="546">
                  <c:v>3.3285719978593487</c:v>
                </c:pt>
                <c:pt idx="547">
                  <c:v>3.3285567375531762</c:v>
                </c:pt>
                <c:pt idx="548">
                  <c:v>3.3285098124281394</c:v>
                </c:pt>
                <c:pt idx="549">
                  <c:v>3.328453068666446</c:v>
                </c:pt>
                <c:pt idx="550">
                  <c:v>3.3283644079912955</c:v>
                </c:pt>
                <c:pt idx="551">
                  <c:v>3.3283548090684003</c:v>
                </c:pt>
                <c:pt idx="552">
                  <c:v>3.3283316869358304</c:v>
                </c:pt>
                <c:pt idx="553">
                  <c:v>3.3283208336380619</c:v>
                </c:pt>
                <c:pt idx="554">
                  <c:v>3.3281990876815475</c:v>
                </c:pt>
                <c:pt idx="555">
                  <c:v>3.3281878864903494</c:v>
                </c:pt>
                <c:pt idx="556">
                  <c:v>3.3281660404472602</c:v>
                </c:pt>
                <c:pt idx="557">
                  <c:v>3.3281300760100496</c:v>
                </c:pt>
                <c:pt idx="558">
                  <c:v>3.3281269453436244</c:v>
                </c:pt>
                <c:pt idx="559">
                  <c:v>3.3279859536442324</c:v>
                </c:pt>
                <c:pt idx="560">
                  <c:v>3.3279850813313487</c:v>
                </c:pt>
                <c:pt idx="561">
                  <c:v>3.3279592750014659</c:v>
                </c:pt>
                <c:pt idx="562">
                  <c:v>3.3279348738029455</c:v>
                </c:pt>
                <c:pt idx="563">
                  <c:v>3.3279303648855434</c:v>
                </c:pt>
                <c:pt idx="564">
                  <c:v>3.3279302417247547</c:v>
                </c:pt>
                <c:pt idx="565">
                  <c:v>3.327832088124258</c:v>
                </c:pt>
                <c:pt idx="566">
                  <c:v>3.3277464258930105</c:v>
                </c:pt>
                <c:pt idx="567">
                  <c:v>3.3276652530292172</c:v>
                </c:pt>
                <c:pt idx="568">
                  <c:v>3.3275289925387219</c:v>
                </c:pt>
                <c:pt idx="569">
                  <c:v>3.3275117870384441</c:v>
                </c:pt>
                <c:pt idx="570">
                  <c:v>3.3275001620003755</c:v>
                </c:pt>
                <c:pt idx="571">
                  <c:v>3.3273704828101272</c:v>
                </c:pt>
                <c:pt idx="572">
                  <c:v>3.3273621440817549</c:v>
                </c:pt>
                <c:pt idx="573">
                  <c:v>3.3271997535525308</c:v>
                </c:pt>
                <c:pt idx="574">
                  <c:v>3.3271395802893098</c:v>
                </c:pt>
                <c:pt idx="575">
                  <c:v>3.3270973407440652</c:v>
                </c:pt>
                <c:pt idx="576">
                  <c:v>3.3270805150193774</c:v>
                </c:pt>
                <c:pt idx="577">
                  <c:v>3.3270756018033913</c:v>
                </c:pt>
                <c:pt idx="578">
                  <c:v>3.3269803482060438</c:v>
                </c:pt>
                <c:pt idx="579">
                  <c:v>3.3269356049048047</c:v>
                </c:pt>
                <c:pt idx="580">
                  <c:v>3.3267242924495717</c:v>
                </c:pt>
                <c:pt idx="581">
                  <c:v>3.3265856311886548</c:v>
                </c:pt>
                <c:pt idx="582">
                  <c:v>3.3265846503551328</c:v>
                </c:pt>
                <c:pt idx="583">
                  <c:v>3.3265489153015122</c:v>
                </c:pt>
                <c:pt idx="584">
                  <c:v>3.3264285981142248</c:v>
                </c:pt>
                <c:pt idx="585">
                  <c:v>3.3263107324838992</c:v>
                </c:pt>
                <c:pt idx="586">
                  <c:v>3.3263013167146367</c:v>
                </c:pt>
                <c:pt idx="587">
                  <c:v>3.3262964572564382</c:v>
                </c:pt>
                <c:pt idx="588">
                  <c:v>3.3262832205574147</c:v>
                </c:pt>
                <c:pt idx="589">
                  <c:v>3.3262598314643181</c:v>
                </c:pt>
                <c:pt idx="590">
                  <c:v>3.326254551519956</c:v>
                </c:pt>
                <c:pt idx="591">
                  <c:v>3.3260310700063305</c:v>
                </c:pt>
                <c:pt idx="592">
                  <c:v>3.3259714340676201</c:v>
                </c:pt>
                <c:pt idx="593">
                  <c:v>3.3258918943247084</c:v>
                </c:pt>
                <c:pt idx="594">
                  <c:v>3.325867970429945</c:v>
                </c:pt>
                <c:pt idx="595">
                  <c:v>3.3258295430292009</c:v>
                </c:pt>
                <c:pt idx="596">
                  <c:v>3.3257295961072937</c:v>
                </c:pt>
                <c:pt idx="597">
                  <c:v>3.3257077255740226</c:v>
                </c:pt>
                <c:pt idx="598">
                  <c:v>3.325617660764479</c:v>
                </c:pt>
                <c:pt idx="599">
                  <c:v>3.3250782097750453</c:v>
                </c:pt>
                <c:pt idx="600">
                  <c:v>3.3250433152105048</c:v>
                </c:pt>
                <c:pt idx="601">
                  <c:v>3.3250103159890454</c:v>
                </c:pt>
                <c:pt idx="602">
                  <c:v>3.3248501918530131</c:v>
                </c:pt>
                <c:pt idx="603">
                  <c:v>3.3248358515670398</c:v>
                </c:pt>
                <c:pt idx="604">
                  <c:v>3.3248274374766891</c:v>
                </c:pt>
                <c:pt idx="605">
                  <c:v>3.3246934503373491</c:v>
                </c:pt>
                <c:pt idx="606">
                  <c:v>3.3246673047557773</c:v>
                </c:pt>
                <c:pt idx="607">
                  <c:v>3.3243834541207629</c:v>
                </c:pt>
                <c:pt idx="608">
                  <c:v>3.3241362608067506</c:v>
                </c:pt>
                <c:pt idx="609">
                  <c:v>3.3240935814155388</c:v>
                </c:pt>
                <c:pt idx="610">
                  <c:v>3.3240372563062706</c:v>
                </c:pt>
                <c:pt idx="611">
                  <c:v>3.3237306036867942</c:v>
                </c:pt>
                <c:pt idx="612">
                  <c:v>3.3236731141771068</c:v>
                </c:pt>
                <c:pt idx="613">
                  <c:v>3.3232286967104039</c:v>
                </c:pt>
                <c:pt idx="614">
                  <c:v>3.3231726560560118</c:v>
                </c:pt>
                <c:pt idx="615">
                  <c:v>3.3230002601126958</c:v>
                </c:pt>
                <c:pt idx="616">
                  <c:v>3.3229274816535055</c:v>
                </c:pt>
                <c:pt idx="617">
                  <c:v>3.3227732985908665</c:v>
                </c:pt>
                <c:pt idx="618">
                  <c:v>3.3227506017656578</c:v>
                </c:pt>
                <c:pt idx="619">
                  <c:v>3.3227408359369335</c:v>
                </c:pt>
                <c:pt idx="620">
                  <c:v>3.3226223496498908</c:v>
                </c:pt>
                <c:pt idx="621">
                  <c:v>3.3222947367827387</c:v>
                </c:pt>
                <c:pt idx="622">
                  <c:v>3.3222620830142464</c:v>
                </c:pt>
                <c:pt idx="623">
                  <c:v>3.32211373981061</c:v>
                </c:pt>
                <c:pt idx="624">
                  <c:v>3.3218470690689599</c:v>
                </c:pt>
                <c:pt idx="625">
                  <c:v>3.321818176883883</c:v>
                </c:pt>
                <c:pt idx="626">
                  <c:v>3.3216262772970704</c:v>
                </c:pt>
                <c:pt idx="627">
                  <c:v>3.3214950694529524</c:v>
                </c:pt>
                <c:pt idx="628">
                  <c:v>3.32138906264551</c:v>
                </c:pt>
                <c:pt idx="629">
                  <c:v>3.321298766361497</c:v>
                </c:pt>
                <c:pt idx="630">
                  <c:v>3.3212881258691054</c:v>
                </c:pt>
                <c:pt idx="631">
                  <c:v>3.3212765481677096</c:v>
                </c:pt>
                <c:pt idx="632">
                  <c:v>3.3212310722094336</c:v>
                </c:pt>
                <c:pt idx="633">
                  <c:v>3.3210952258399429</c:v>
                </c:pt>
                <c:pt idx="634">
                  <c:v>3.3208177330500774</c:v>
                </c:pt>
                <c:pt idx="635">
                  <c:v>3.3206858185948778</c:v>
                </c:pt>
                <c:pt idx="636">
                  <c:v>3.3204793624276174</c:v>
                </c:pt>
                <c:pt idx="637">
                  <c:v>3.319834918915384</c:v>
                </c:pt>
                <c:pt idx="638">
                  <c:v>3.319801474289628</c:v>
                </c:pt>
                <c:pt idx="639">
                  <c:v>3.3197353490341843</c:v>
                </c:pt>
                <c:pt idx="640">
                  <c:v>3.3197181434459098</c:v>
                </c:pt>
                <c:pt idx="641">
                  <c:v>3.3197151074745626</c:v>
                </c:pt>
                <c:pt idx="642">
                  <c:v>3.3197030795058584</c:v>
                </c:pt>
                <c:pt idx="643">
                  <c:v>3.3195158448893336</c:v>
                </c:pt>
                <c:pt idx="644">
                  <c:v>3.3191539659052145</c:v>
                </c:pt>
                <c:pt idx="645">
                  <c:v>3.3191208356726598</c:v>
                </c:pt>
                <c:pt idx="646">
                  <c:v>3.318889090311024</c:v>
                </c:pt>
                <c:pt idx="647">
                  <c:v>3.318854780253965</c:v>
                </c:pt>
                <c:pt idx="648">
                  <c:v>3.3186864999958829</c:v>
                </c:pt>
                <c:pt idx="649">
                  <c:v>3.3186847334378462</c:v>
                </c:pt>
                <c:pt idx="650">
                  <c:v>3.3186679869589213</c:v>
                </c:pt>
                <c:pt idx="651">
                  <c:v>3.3184597660298158</c:v>
                </c:pt>
                <c:pt idx="652">
                  <c:v>3.3184352594276123</c:v>
                </c:pt>
                <c:pt idx="653">
                  <c:v>3.3183544537048966</c:v>
                </c:pt>
                <c:pt idx="654">
                  <c:v>3.318299681570597</c:v>
                </c:pt>
                <c:pt idx="655">
                  <c:v>3.3178720112397748</c:v>
                </c:pt>
                <c:pt idx="656">
                  <c:v>3.3176353697819949</c:v>
                </c:pt>
                <c:pt idx="657">
                  <c:v>3.3173692045403582</c:v>
                </c:pt>
                <c:pt idx="658">
                  <c:v>3.3173211000541545</c:v>
                </c:pt>
                <c:pt idx="659">
                  <c:v>3.3170157460201155</c:v>
                </c:pt>
                <c:pt idx="660">
                  <c:v>3.3168052214681212</c:v>
                </c:pt>
                <c:pt idx="661">
                  <c:v>3.3167258052634692</c:v>
                </c:pt>
                <c:pt idx="662">
                  <c:v>3.3165562781516265</c:v>
                </c:pt>
                <c:pt idx="663">
                  <c:v>3.316525762743562</c:v>
                </c:pt>
                <c:pt idx="664">
                  <c:v>3.3161118817696207</c:v>
                </c:pt>
                <c:pt idx="665">
                  <c:v>3.3157872941414426</c:v>
                </c:pt>
                <c:pt idx="666">
                  <c:v>3.3155367256930344</c:v>
                </c:pt>
                <c:pt idx="667">
                  <c:v>3.3154884492180088</c:v>
                </c:pt>
                <c:pt idx="668">
                  <c:v>3.3153740962864688</c:v>
                </c:pt>
                <c:pt idx="669">
                  <c:v>3.3153003976396298</c:v>
                </c:pt>
                <c:pt idx="670">
                  <c:v>3.3152285948941556</c:v>
                </c:pt>
                <c:pt idx="671">
                  <c:v>3.3151720699910272</c:v>
                </c:pt>
                <c:pt idx="672">
                  <c:v>3.3151166803819603</c:v>
                </c:pt>
                <c:pt idx="673">
                  <c:v>3.3150656842750093</c:v>
                </c:pt>
                <c:pt idx="674">
                  <c:v>3.3149390484391406</c:v>
                </c:pt>
                <c:pt idx="675">
                  <c:v>3.3149238627777158</c:v>
                </c:pt>
                <c:pt idx="676">
                  <c:v>3.3139940789791349</c:v>
                </c:pt>
                <c:pt idx="677">
                  <c:v>3.3138008101831247</c:v>
                </c:pt>
                <c:pt idx="678">
                  <c:v>3.3137732431653828</c:v>
                </c:pt>
                <c:pt idx="679">
                  <c:v>3.3136550461061964</c:v>
                </c:pt>
                <c:pt idx="680">
                  <c:v>3.3132787640632952</c:v>
                </c:pt>
                <c:pt idx="681">
                  <c:v>3.3128981365962034</c:v>
                </c:pt>
                <c:pt idx="682">
                  <c:v>3.3128460453806818</c:v>
                </c:pt>
                <c:pt idx="683">
                  <c:v>3.3128277161576301</c:v>
                </c:pt>
                <c:pt idx="684">
                  <c:v>3.31280650535943</c:v>
                </c:pt>
                <c:pt idx="685">
                  <c:v>3.3124172336580013</c:v>
                </c:pt>
                <c:pt idx="686">
                  <c:v>3.3122955824744902</c:v>
                </c:pt>
                <c:pt idx="687">
                  <c:v>3.3121481433370517</c:v>
                </c:pt>
                <c:pt idx="688">
                  <c:v>3.3108409205622982</c:v>
                </c:pt>
                <c:pt idx="689">
                  <c:v>3.3108211542626451</c:v>
                </c:pt>
                <c:pt idx="690">
                  <c:v>3.3102193479411324</c:v>
                </c:pt>
                <c:pt idx="691">
                  <c:v>3.3100751138739706</c:v>
                </c:pt>
                <c:pt idx="692">
                  <c:v>3.3100646310190465</c:v>
                </c:pt>
                <c:pt idx="693">
                  <c:v>3.3099072340720923</c:v>
                </c:pt>
                <c:pt idx="694">
                  <c:v>3.3096618647696339</c:v>
                </c:pt>
                <c:pt idx="695">
                  <c:v>3.3095965482254015</c:v>
                </c:pt>
                <c:pt idx="696">
                  <c:v>3.3094763978521726</c:v>
                </c:pt>
                <c:pt idx="697">
                  <c:v>3.3092564962617912</c:v>
                </c:pt>
                <c:pt idx="698">
                  <c:v>3.3087612971447573</c:v>
                </c:pt>
                <c:pt idx="699">
                  <c:v>3.3087347163716618</c:v>
                </c:pt>
                <c:pt idx="700">
                  <c:v>3.3085300705481915</c:v>
                </c:pt>
                <c:pt idx="701">
                  <c:v>3.308169946101474</c:v>
                </c:pt>
                <c:pt idx="702">
                  <c:v>3.3079500098772625</c:v>
                </c:pt>
                <c:pt idx="703">
                  <c:v>3.307444715698483</c:v>
                </c:pt>
                <c:pt idx="704">
                  <c:v>3.3073851080720336</c:v>
                </c:pt>
                <c:pt idx="705">
                  <c:v>3.3072692202817939</c:v>
                </c:pt>
                <c:pt idx="706">
                  <c:v>3.307102308638961</c:v>
                </c:pt>
                <c:pt idx="707">
                  <c:v>3.3064464968118759</c:v>
                </c:pt>
                <c:pt idx="708">
                  <c:v>3.3063912836487375</c:v>
                </c:pt>
                <c:pt idx="709">
                  <c:v>3.3061176860320538</c:v>
                </c:pt>
                <c:pt idx="710">
                  <c:v>3.3060767328677949</c:v>
                </c:pt>
                <c:pt idx="711">
                  <c:v>3.3060659555719933</c:v>
                </c:pt>
                <c:pt idx="712">
                  <c:v>3.3051714903804355</c:v>
                </c:pt>
                <c:pt idx="713">
                  <c:v>3.304936502293498</c:v>
                </c:pt>
                <c:pt idx="714">
                  <c:v>3.3049255166108549</c:v>
                </c:pt>
                <c:pt idx="715">
                  <c:v>3.3048541652182108</c:v>
                </c:pt>
                <c:pt idx="716">
                  <c:v>3.3040481738065237</c:v>
                </c:pt>
                <c:pt idx="717">
                  <c:v>3.3039468406618595</c:v>
                </c:pt>
                <c:pt idx="718">
                  <c:v>3.3039099934166725</c:v>
                </c:pt>
                <c:pt idx="719">
                  <c:v>3.3036068437047321</c:v>
                </c:pt>
                <c:pt idx="720">
                  <c:v>3.3034075412606638</c:v>
                </c:pt>
                <c:pt idx="721">
                  <c:v>3.3033823106489777</c:v>
                </c:pt>
                <c:pt idx="722">
                  <c:v>3.3031296670556261</c:v>
                </c:pt>
                <c:pt idx="723">
                  <c:v>3.3027423469251049</c:v>
                </c:pt>
                <c:pt idx="724">
                  <c:v>3.3026741358758596</c:v>
                </c:pt>
                <c:pt idx="725">
                  <c:v>3.3025795308982508</c:v>
                </c:pt>
                <c:pt idx="726">
                  <c:v>3.3021444574134482</c:v>
                </c:pt>
                <c:pt idx="727">
                  <c:v>3.301913798828132</c:v>
                </c:pt>
                <c:pt idx="728">
                  <c:v>3.3018974085692152</c:v>
                </c:pt>
                <c:pt idx="729">
                  <c:v>3.3014631610627476</c:v>
                </c:pt>
                <c:pt idx="730">
                  <c:v>3.3013803422998027</c:v>
                </c:pt>
                <c:pt idx="731">
                  <c:v>3.3006792275033083</c:v>
                </c:pt>
                <c:pt idx="732">
                  <c:v>3.3002046360765855</c:v>
                </c:pt>
                <c:pt idx="733">
                  <c:v>3.299730475516796</c:v>
                </c:pt>
                <c:pt idx="734">
                  <c:v>3.2988940902344215</c:v>
                </c:pt>
                <c:pt idx="735">
                  <c:v>3.2986136315928607</c:v>
                </c:pt>
                <c:pt idx="736">
                  <c:v>3.2984971012929996</c:v>
                </c:pt>
                <c:pt idx="737">
                  <c:v>3.2984360404715281</c:v>
                </c:pt>
                <c:pt idx="738">
                  <c:v>3.2978220484297913</c:v>
                </c:pt>
                <c:pt idx="739">
                  <c:v>3.2976269453418916</c:v>
                </c:pt>
                <c:pt idx="740">
                  <c:v>3.2976063924274794</c:v>
                </c:pt>
                <c:pt idx="741">
                  <c:v>3.2974478465807766</c:v>
                </c:pt>
                <c:pt idx="742">
                  <c:v>3.2971609158031665</c:v>
                </c:pt>
                <c:pt idx="743">
                  <c:v>3.2971497266314884</c:v>
                </c:pt>
                <c:pt idx="744">
                  <c:v>3.2971174174099023</c:v>
                </c:pt>
                <c:pt idx="745">
                  <c:v>3.2968617679933905</c:v>
                </c:pt>
                <c:pt idx="746">
                  <c:v>3.2967398757818192</c:v>
                </c:pt>
                <c:pt idx="747">
                  <c:v>3.2965197744457861</c:v>
                </c:pt>
                <c:pt idx="748">
                  <c:v>3.2958956882208676</c:v>
                </c:pt>
                <c:pt idx="749">
                  <c:v>3.2951192752276754</c:v>
                </c:pt>
                <c:pt idx="750">
                  <c:v>3.2948164714158077</c:v>
                </c:pt>
                <c:pt idx="751">
                  <c:v>3.2945799112750338</c:v>
                </c:pt>
                <c:pt idx="752">
                  <c:v>3.2935003865691872</c:v>
                </c:pt>
                <c:pt idx="753">
                  <c:v>3.2932222210510549</c:v>
                </c:pt>
                <c:pt idx="754">
                  <c:v>3.292995428735884</c:v>
                </c:pt>
                <c:pt idx="755">
                  <c:v>3.2925478739097462</c:v>
                </c:pt>
                <c:pt idx="756">
                  <c:v>3.2923458581672076</c:v>
                </c:pt>
                <c:pt idx="757">
                  <c:v>3.2918239977169068</c:v>
                </c:pt>
                <c:pt idx="758">
                  <c:v>3.2915138076038284</c:v>
                </c:pt>
                <c:pt idx="759">
                  <c:v>3.2914616945216624</c:v>
                </c:pt>
                <c:pt idx="760">
                  <c:v>3.2914614066895913</c:v>
                </c:pt>
                <c:pt idx="761">
                  <c:v>3.2911004294713466</c:v>
                </c:pt>
                <c:pt idx="762">
                  <c:v>3.2907959384016983</c:v>
                </c:pt>
                <c:pt idx="763">
                  <c:v>3.2902957360543423</c:v>
                </c:pt>
                <c:pt idx="764">
                  <c:v>3.2896989401535053</c:v>
                </c:pt>
                <c:pt idx="765">
                  <c:v>3.2896641305166021</c:v>
                </c:pt>
                <c:pt idx="766">
                  <c:v>3.2896490124084172</c:v>
                </c:pt>
                <c:pt idx="767">
                  <c:v>3.2890828749652208</c:v>
                </c:pt>
                <c:pt idx="768">
                  <c:v>3.2890478302517163</c:v>
                </c:pt>
                <c:pt idx="769">
                  <c:v>3.2890240995803786</c:v>
                </c:pt>
                <c:pt idx="770">
                  <c:v>3.2886990926116302</c:v>
                </c:pt>
                <c:pt idx="771">
                  <c:v>3.2884698442245508</c:v>
                </c:pt>
                <c:pt idx="772">
                  <c:v>3.2881821606518749</c:v>
                </c:pt>
                <c:pt idx="773">
                  <c:v>3.2878725978121883</c:v>
                </c:pt>
                <c:pt idx="774">
                  <c:v>3.2876203989198158</c:v>
                </c:pt>
                <c:pt idx="775">
                  <c:v>3.2870307270409262</c:v>
                </c:pt>
                <c:pt idx="776">
                  <c:v>3.2868582727461546</c:v>
                </c:pt>
                <c:pt idx="777">
                  <c:v>3.2864803905497659</c:v>
                </c:pt>
                <c:pt idx="778">
                  <c:v>3.2863248905961604</c:v>
                </c:pt>
                <c:pt idx="779">
                  <c:v>3.2862072437778194</c:v>
                </c:pt>
                <c:pt idx="780">
                  <c:v>3.2861567499359392</c:v>
                </c:pt>
                <c:pt idx="781">
                  <c:v>3.2859849555932601</c:v>
                </c:pt>
                <c:pt idx="782">
                  <c:v>3.2859148109015548</c:v>
                </c:pt>
                <c:pt idx="783">
                  <c:v>3.2857566934947093</c:v>
                </c:pt>
                <c:pt idx="784">
                  <c:v>3.2851736218442134</c:v>
                </c:pt>
                <c:pt idx="785">
                  <c:v>3.2849285351726114</c:v>
                </c:pt>
                <c:pt idx="786">
                  <c:v>3.2840081910937471</c:v>
                </c:pt>
                <c:pt idx="787">
                  <c:v>3.2839132839434106</c:v>
                </c:pt>
                <c:pt idx="788">
                  <c:v>3.2838655516897943</c:v>
                </c:pt>
                <c:pt idx="789">
                  <c:v>3.2833373467205149</c:v>
                </c:pt>
                <c:pt idx="790">
                  <c:v>3.282185509364719</c:v>
                </c:pt>
                <c:pt idx="791">
                  <c:v>3.2813506499295708</c:v>
                </c:pt>
                <c:pt idx="792">
                  <c:v>3.2812780583200394</c:v>
                </c:pt>
                <c:pt idx="793">
                  <c:v>3.2806399201346896</c:v>
                </c:pt>
                <c:pt idx="794">
                  <c:v>3.2797641412536027</c:v>
                </c:pt>
                <c:pt idx="795">
                  <c:v>3.2794807759916966</c:v>
                </c:pt>
                <c:pt idx="796">
                  <c:v>3.2794662103550452</c:v>
                </c:pt>
                <c:pt idx="797">
                  <c:v>3.2790361949421589</c:v>
                </c:pt>
                <c:pt idx="798">
                  <c:v>3.2776491652651418</c:v>
                </c:pt>
                <c:pt idx="799">
                  <c:v>3.277638496184522</c:v>
                </c:pt>
                <c:pt idx="800">
                  <c:v>3.2776258674782626</c:v>
                </c:pt>
                <c:pt idx="801">
                  <c:v>3.2775905607010238</c:v>
                </c:pt>
                <c:pt idx="802">
                  <c:v>3.2775524019665596</c:v>
                </c:pt>
                <c:pt idx="803">
                  <c:v>3.2770574109126707</c:v>
                </c:pt>
                <c:pt idx="804">
                  <c:v>3.2753432250631436</c:v>
                </c:pt>
                <c:pt idx="805">
                  <c:v>3.275247265149178</c:v>
                </c:pt>
                <c:pt idx="806">
                  <c:v>3.2751390799870346</c:v>
                </c:pt>
                <c:pt idx="807">
                  <c:v>3.2750972248361205</c:v>
                </c:pt>
                <c:pt idx="808">
                  <c:v>3.2747404717210231</c:v>
                </c:pt>
                <c:pt idx="809">
                  <c:v>3.2744167509743587</c:v>
                </c:pt>
                <c:pt idx="810">
                  <c:v>3.2743982610761364</c:v>
                </c:pt>
                <c:pt idx="811">
                  <c:v>3.2740588390359133</c:v>
                </c:pt>
                <c:pt idx="812">
                  <c:v>3.2730808940680785</c:v>
                </c:pt>
                <c:pt idx="813">
                  <c:v>3.2728691790729383</c:v>
                </c:pt>
                <c:pt idx="814">
                  <c:v>3.2725098667293859</c:v>
                </c:pt>
                <c:pt idx="815">
                  <c:v>3.2719884414856284</c:v>
                </c:pt>
                <c:pt idx="816">
                  <c:v>3.2719645322040227</c:v>
                </c:pt>
                <c:pt idx="817">
                  <c:v>3.2715405890684912</c:v>
                </c:pt>
                <c:pt idx="818">
                  <c:v>3.2713973491590584</c:v>
                </c:pt>
                <c:pt idx="819">
                  <c:v>3.2689556369122572</c:v>
                </c:pt>
                <c:pt idx="820">
                  <c:v>3.2688013122804334</c:v>
                </c:pt>
                <c:pt idx="821">
                  <c:v>3.2684514331454442</c:v>
                </c:pt>
                <c:pt idx="822">
                  <c:v>3.268050986706605</c:v>
                </c:pt>
                <c:pt idx="823">
                  <c:v>3.2665529984259818</c:v>
                </c:pt>
                <c:pt idx="824">
                  <c:v>3.2645970097120491</c:v>
                </c:pt>
                <c:pt idx="825">
                  <c:v>3.2638772914071574</c:v>
                </c:pt>
                <c:pt idx="826">
                  <c:v>3.2635678735987019</c:v>
                </c:pt>
                <c:pt idx="827">
                  <c:v>3.2633894097020599</c:v>
                </c:pt>
                <c:pt idx="828">
                  <c:v>3.2633717729942462</c:v>
                </c:pt>
                <c:pt idx="829">
                  <c:v>3.2633171703684214</c:v>
                </c:pt>
                <c:pt idx="830">
                  <c:v>3.2627178814600266</c:v>
                </c:pt>
                <c:pt idx="831">
                  <c:v>3.2626820795894269</c:v>
                </c:pt>
                <c:pt idx="832">
                  <c:v>3.2625202640673527</c:v>
                </c:pt>
                <c:pt idx="833">
                  <c:v>3.2617575749075125</c:v>
                </c:pt>
                <c:pt idx="834">
                  <c:v>3.2609369050356523</c:v>
                </c:pt>
                <c:pt idx="835">
                  <c:v>3.2606993965875657</c:v>
                </c:pt>
                <c:pt idx="836">
                  <c:v>3.2591280566517797</c:v>
                </c:pt>
                <c:pt idx="837">
                  <c:v>3.2583271481582834</c:v>
                </c:pt>
                <c:pt idx="838">
                  <c:v>3.2574752533030891</c:v>
                </c:pt>
                <c:pt idx="839">
                  <c:v>3.257452647252661</c:v>
                </c:pt>
                <c:pt idx="840">
                  <c:v>3.2563846777971541</c:v>
                </c:pt>
                <c:pt idx="841">
                  <c:v>3.2562824714916854</c:v>
                </c:pt>
                <c:pt idx="842">
                  <c:v>3.2560471539865019</c:v>
                </c:pt>
                <c:pt idx="843">
                  <c:v>3.2558779854148123</c:v>
                </c:pt>
                <c:pt idx="844">
                  <c:v>3.2555706625223761</c:v>
                </c:pt>
                <c:pt idx="845">
                  <c:v>3.2550962610058654</c:v>
                </c:pt>
                <c:pt idx="846">
                  <c:v>3.2550947579567464</c:v>
                </c:pt>
                <c:pt idx="847">
                  <c:v>3.2550660157929197</c:v>
                </c:pt>
                <c:pt idx="848">
                  <c:v>3.2544357507923443</c:v>
                </c:pt>
                <c:pt idx="849">
                  <c:v>3.2538343618745684</c:v>
                </c:pt>
                <c:pt idx="850">
                  <c:v>3.252610176837063</c:v>
                </c:pt>
                <c:pt idx="851">
                  <c:v>3.2513630867000725</c:v>
                </c:pt>
                <c:pt idx="852">
                  <c:v>3.2504976200783089</c:v>
                </c:pt>
                <c:pt idx="853">
                  <c:v>3.2500114236160749</c:v>
                </c:pt>
                <c:pt idx="854">
                  <c:v>3.2499612291327229</c:v>
                </c:pt>
                <c:pt idx="855">
                  <c:v>3.2492598459528219</c:v>
                </c:pt>
                <c:pt idx="856">
                  <c:v>3.2478734249785806</c:v>
                </c:pt>
                <c:pt idx="857">
                  <c:v>3.2429155087510178</c:v>
                </c:pt>
                <c:pt idx="858">
                  <c:v>3.2422051313180971</c:v>
                </c:pt>
                <c:pt idx="859">
                  <c:v>3.2409713161914269</c:v>
                </c:pt>
                <c:pt idx="860">
                  <c:v>3.2406198076640265</c:v>
                </c:pt>
                <c:pt idx="861">
                  <c:v>3.2381579353635037</c:v>
                </c:pt>
                <c:pt idx="862">
                  <c:v>3.2349884450564654</c:v>
                </c:pt>
                <c:pt idx="863">
                  <c:v>3.2348206610622161</c:v>
                </c:pt>
                <c:pt idx="864">
                  <c:v>3.2336032526932992</c:v>
                </c:pt>
                <c:pt idx="865">
                  <c:v>3.2326994619871163</c:v>
                </c:pt>
                <c:pt idx="866">
                  <c:v>3.2309079144803254</c:v>
                </c:pt>
                <c:pt idx="867">
                  <c:v>3.2302647709885233</c:v>
                </c:pt>
                <c:pt idx="868">
                  <c:v>3.2300423449660265</c:v>
                </c:pt>
                <c:pt idx="869">
                  <c:v>3.228625650389267</c:v>
                </c:pt>
                <c:pt idx="870">
                  <c:v>3.2272772436906365</c:v>
                </c:pt>
                <c:pt idx="871">
                  <c:v>3.2257230232492486</c:v>
                </c:pt>
                <c:pt idx="872">
                  <c:v>3.2251160960397054</c:v>
                </c:pt>
                <c:pt idx="873">
                  <c:v>3.2248304059161321</c:v>
                </c:pt>
                <c:pt idx="874">
                  <c:v>3.2232644360643166</c:v>
                </c:pt>
                <c:pt idx="875">
                  <c:v>3.2227699322356429</c:v>
                </c:pt>
                <c:pt idx="876">
                  <c:v>3.2212836208104236</c:v>
                </c:pt>
                <c:pt idx="877">
                  <c:v>3.2193249448909502</c:v>
                </c:pt>
                <c:pt idx="878">
                  <c:v>3.2171438674780299</c:v>
                </c:pt>
                <c:pt idx="879">
                  <c:v>3.2171161974827371</c:v>
                </c:pt>
                <c:pt idx="880">
                  <c:v>3.2166275602544037</c:v>
                </c:pt>
                <c:pt idx="881">
                  <c:v>3.2161774682779112</c:v>
                </c:pt>
                <c:pt idx="882">
                  <c:v>3.2160613613040527</c:v>
                </c:pt>
                <c:pt idx="883">
                  <c:v>3.2159100779600962</c:v>
                </c:pt>
                <c:pt idx="884">
                  <c:v>3.2158423934519247</c:v>
                </c:pt>
                <c:pt idx="885">
                  <c:v>3.2154091972533867</c:v>
                </c:pt>
                <c:pt idx="886">
                  <c:v>3.2152569058927085</c:v>
                </c:pt>
                <c:pt idx="887">
                  <c:v>3.215201340354735</c:v>
                </c:pt>
                <c:pt idx="888">
                  <c:v>3.2141534196447687</c:v>
                </c:pt>
                <c:pt idx="889">
                  <c:v>3.2138329967558978</c:v>
                </c:pt>
                <c:pt idx="890">
                  <c:v>3.2129862497984969</c:v>
                </c:pt>
                <c:pt idx="891">
                  <c:v>3.2124372826071932</c:v>
                </c:pt>
                <c:pt idx="892">
                  <c:v>3.2123042119693084</c:v>
                </c:pt>
                <c:pt idx="893">
                  <c:v>3.2114252896680893</c:v>
                </c:pt>
                <c:pt idx="894">
                  <c:v>3.2112067701255809</c:v>
                </c:pt>
                <c:pt idx="895">
                  <c:v>3.2093791085143626</c:v>
                </c:pt>
                <c:pt idx="896">
                  <c:v>3.207461973703519</c:v>
                </c:pt>
                <c:pt idx="897">
                  <c:v>3.2073586883299052</c:v>
                </c:pt>
                <c:pt idx="898">
                  <c:v>3.2060453423183288</c:v>
                </c:pt>
                <c:pt idx="899">
                  <c:v>3.2048900558358464</c:v>
                </c:pt>
                <c:pt idx="900">
                  <c:v>3.2036684905573471</c:v>
                </c:pt>
                <c:pt idx="901">
                  <c:v>3.2018881798455769</c:v>
                </c:pt>
                <c:pt idx="902">
                  <c:v>3.2000555576373175</c:v>
                </c:pt>
                <c:pt idx="903">
                  <c:v>3.1994022321817832</c:v>
                </c:pt>
                <c:pt idx="904">
                  <c:v>3.1991440289164701</c:v>
                </c:pt>
                <c:pt idx="905">
                  <c:v>3.1986100585050194</c:v>
                </c:pt>
                <c:pt idx="906">
                  <c:v>3.1973739538969892</c:v>
                </c:pt>
                <c:pt idx="907">
                  <c:v>3.1970028122855578</c:v>
                </c:pt>
                <c:pt idx="908">
                  <c:v>3.1961951545716984</c:v>
                </c:pt>
                <c:pt idx="909">
                  <c:v>3.1958805436617519</c:v>
                </c:pt>
                <c:pt idx="910">
                  <c:v>3.1943351829635227</c:v>
                </c:pt>
                <c:pt idx="911">
                  <c:v>3.1939184436310319</c:v>
                </c:pt>
                <c:pt idx="912">
                  <c:v>3.1933856305694679</c:v>
                </c:pt>
                <c:pt idx="913">
                  <c:v>3.1910204555253836</c:v>
                </c:pt>
                <c:pt idx="914">
                  <c:v>3.1906187072625865</c:v>
                </c:pt>
                <c:pt idx="915">
                  <c:v>3.1903873804443932</c:v>
                </c:pt>
                <c:pt idx="916">
                  <c:v>3.1901307376754566</c:v>
                </c:pt>
                <c:pt idx="917">
                  <c:v>3.1900355960170632</c:v>
                </c:pt>
                <c:pt idx="918">
                  <c:v>3.189973580184676</c:v>
                </c:pt>
                <c:pt idx="919">
                  <c:v>3.1804730600964559</c:v>
                </c:pt>
                <c:pt idx="920">
                  <c:v>3.1797027881900144</c:v>
                </c:pt>
                <c:pt idx="921">
                  <c:v>3.1774210440580326</c:v>
                </c:pt>
                <c:pt idx="922">
                  <c:v>3.176874158626033</c:v>
                </c:pt>
                <c:pt idx="923">
                  <c:v>3.1767596070247968</c:v>
                </c:pt>
                <c:pt idx="924">
                  <c:v>3.1756297825300388</c:v>
                </c:pt>
                <c:pt idx="925">
                  <c:v>3.1732830973726385</c:v>
                </c:pt>
                <c:pt idx="926">
                  <c:v>3.172336513937597</c:v>
                </c:pt>
                <c:pt idx="927">
                  <c:v>3.171885235497653</c:v>
                </c:pt>
                <c:pt idx="928">
                  <c:v>3.1704715402996086</c:v>
                </c:pt>
                <c:pt idx="929">
                  <c:v>3.1662156239551558</c:v>
                </c:pt>
                <c:pt idx="930">
                  <c:v>3.1644746382365594</c:v>
                </c:pt>
                <c:pt idx="931">
                  <c:v>3.1633195390614293</c:v>
                </c:pt>
                <c:pt idx="932">
                  <c:v>3.1521426778143384</c:v>
                </c:pt>
                <c:pt idx="933">
                  <c:v>3.1503762573836753</c:v>
                </c:pt>
                <c:pt idx="934">
                  <c:v>3.1500557734226922</c:v>
                </c:pt>
                <c:pt idx="935">
                  <c:v>3.1482138959290014</c:v>
                </c:pt>
                <c:pt idx="936">
                  <c:v>3.1476323311599348</c:v>
                </c:pt>
                <c:pt idx="937">
                  <c:v>3.1475767349183967</c:v>
                </c:pt>
                <c:pt idx="938">
                  <c:v>3.1449205165234688</c:v>
                </c:pt>
                <c:pt idx="939">
                  <c:v>3.1425306271985298</c:v>
                </c:pt>
                <c:pt idx="940">
                  <c:v>3.139255380183176</c:v>
                </c:pt>
                <c:pt idx="941">
                  <c:v>3.1387401878622279</c:v>
                </c:pt>
                <c:pt idx="942">
                  <c:v>3.1363691352618184</c:v>
                </c:pt>
                <c:pt idx="943">
                  <c:v>3.1344091994319117</c:v>
                </c:pt>
                <c:pt idx="944">
                  <c:v>3.1336333097053566</c:v>
                </c:pt>
                <c:pt idx="945">
                  <c:v>3.1317336014640795</c:v>
                </c:pt>
                <c:pt idx="946">
                  <c:v>3.1315254511952704</c:v>
                </c:pt>
                <c:pt idx="947">
                  <c:v>3.1305476006384678</c:v>
                </c:pt>
                <c:pt idx="948">
                  <c:v>3.1279586133221118</c:v>
                </c:pt>
                <c:pt idx="949">
                  <c:v>3.1257704984663706</c:v>
                </c:pt>
                <c:pt idx="950">
                  <c:v>3.124848341603756</c:v>
                </c:pt>
                <c:pt idx="951">
                  <c:v>3.1245630478572921</c:v>
                </c:pt>
                <c:pt idx="952">
                  <c:v>3.1243698185570752</c:v>
                </c:pt>
                <c:pt idx="953">
                  <c:v>3.1232518284626334</c:v>
                </c:pt>
                <c:pt idx="954">
                  <c:v>3.1214486823953549</c:v>
                </c:pt>
                <c:pt idx="955">
                  <c:v>3.1191762335502244</c:v>
                </c:pt>
                <c:pt idx="956">
                  <c:v>3.1185829265052263</c:v>
                </c:pt>
                <c:pt idx="957">
                  <c:v>3.1156897837932287</c:v>
                </c:pt>
                <c:pt idx="958">
                  <c:v>3.1143896223736331</c:v>
                </c:pt>
                <c:pt idx="959">
                  <c:v>3.1140164564397752</c:v>
                </c:pt>
                <c:pt idx="960">
                  <c:v>3.1122441299292976</c:v>
                </c:pt>
                <c:pt idx="961">
                  <c:v>3.1118245788153578</c:v>
                </c:pt>
                <c:pt idx="962">
                  <c:v>3.1101209434253279</c:v>
                </c:pt>
                <c:pt idx="963">
                  <c:v>3.1084634141136518</c:v>
                </c:pt>
                <c:pt idx="964">
                  <c:v>3.1056603090426091</c:v>
                </c:pt>
                <c:pt idx="965">
                  <c:v>3.103915962732231</c:v>
                </c:pt>
                <c:pt idx="966">
                  <c:v>3.101946199886227</c:v>
                </c:pt>
                <c:pt idx="967">
                  <c:v>3.1006248055208356</c:v>
                </c:pt>
                <c:pt idx="968">
                  <c:v>3.0982355955091792</c:v>
                </c:pt>
                <c:pt idx="969">
                  <c:v>3.0939298494033758</c:v>
                </c:pt>
                <c:pt idx="970">
                  <c:v>3.0924735391377598</c:v>
                </c:pt>
                <c:pt idx="971">
                  <c:v>3.0913395465986677</c:v>
                </c:pt>
                <c:pt idx="972">
                  <c:v>3.0906256962076606</c:v>
                </c:pt>
                <c:pt idx="973">
                  <c:v>3.0872456642560238</c:v>
                </c:pt>
                <c:pt idx="974">
                  <c:v>3.0861264721291906</c:v>
                </c:pt>
                <c:pt idx="975">
                  <c:v>3.0806477126435858</c:v>
                </c:pt>
                <c:pt idx="976">
                  <c:v>3.080336027945592</c:v>
                </c:pt>
                <c:pt idx="977">
                  <c:v>3.0783173406184337</c:v>
                </c:pt>
                <c:pt idx="978">
                  <c:v>3.0734309921655676</c:v>
                </c:pt>
                <c:pt idx="979">
                  <c:v>3.0732978471162484</c:v>
                </c:pt>
                <c:pt idx="980">
                  <c:v>3.0708871556230597</c:v>
                </c:pt>
                <c:pt idx="981">
                  <c:v>3.0645236717184536</c:v>
                </c:pt>
                <c:pt idx="982">
                  <c:v>3.0634873453440856</c:v>
                </c:pt>
                <c:pt idx="983">
                  <c:v>3.0603420409515891</c:v>
                </c:pt>
                <c:pt idx="984">
                  <c:v>3.056224557671364</c:v>
                </c:pt>
                <c:pt idx="985">
                  <c:v>3.0522602889266786</c:v>
                </c:pt>
                <c:pt idx="986">
                  <c:v>3.0519737269717542</c:v>
                </c:pt>
                <c:pt idx="987">
                  <c:v>3.0484473189821419</c:v>
                </c:pt>
                <c:pt idx="988">
                  <c:v>3.0398530370347148</c:v>
                </c:pt>
                <c:pt idx="989">
                  <c:v>3.0345545785916328</c:v>
                </c:pt>
                <c:pt idx="990">
                  <c:v>3.0327124445766169</c:v>
                </c:pt>
                <c:pt idx="991">
                  <c:v>3.0287399334963538</c:v>
                </c:pt>
                <c:pt idx="992">
                  <c:v>3.0282723966704057</c:v>
                </c:pt>
                <c:pt idx="993">
                  <c:v>3.0279496304102183</c:v>
                </c:pt>
                <c:pt idx="994">
                  <c:v>3.0274551554652609</c:v>
                </c:pt>
                <c:pt idx="995">
                  <c:v>3.0270646910090617</c:v>
                </c:pt>
                <c:pt idx="996">
                  <c:v>3.0263117977487286</c:v>
                </c:pt>
                <c:pt idx="997">
                  <c:v>3.0255062691525811</c:v>
                </c:pt>
                <c:pt idx="998">
                  <c:v>3.0128028422370137</c:v>
                </c:pt>
                <c:pt idx="999">
                  <c:v>3.0075384499107765</c:v>
                </c:pt>
                <c:pt idx="1000">
                  <c:v>3.0054854320527089</c:v>
                </c:pt>
                <c:pt idx="1001">
                  <c:v>3.0052840183782696</c:v>
                </c:pt>
                <c:pt idx="1002">
                  <c:v>3.0022542500839271</c:v>
                </c:pt>
                <c:pt idx="1003">
                  <c:v>3.0013142143729716</c:v>
                </c:pt>
                <c:pt idx="1004">
                  <c:v>2.999815140472835</c:v>
                </c:pt>
                <c:pt idx="1005">
                  <c:v>2.998826843482929</c:v>
                </c:pt>
                <c:pt idx="1006">
                  <c:v>2.9972913055215828</c:v>
                </c:pt>
                <c:pt idx="1007">
                  <c:v>2.996110565159261</c:v>
                </c:pt>
                <c:pt idx="1008">
                  <c:v>2.9907070952831742</c:v>
                </c:pt>
                <c:pt idx="1009">
                  <c:v>2.9847209474242793</c:v>
                </c:pt>
                <c:pt idx="1010">
                  <c:v>2.9786831580132369</c:v>
                </c:pt>
                <c:pt idx="1011">
                  <c:v>2.9761180510411309</c:v>
                </c:pt>
                <c:pt idx="1012">
                  <c:v>2.9738033539252702</c:v>
                </c:pt>
                <c:pt idx="1013">
                  <c:v>2.9724590508632258</c:v>
                </c:pt>
                <c:pt idx="1014">
                  <c:v>2.9658713100376102</c:v>
                </c:pt>
                <c:pt idx="1015">
                  <c:v>2.9638066827270078</c:v>
                </c:pt>
                <c:pt idx="1016">
                  <c:v>2.956952979959822</c:v>
                </c:pt>
                <c:pt idx="1017">
                  <c:v>2.9449766343167552</c:v>
                </c:pt>
                <c:pt idx="1018">
                  <c:v>2.9431597462253638</c:v>
                </c:pt>
                <c:pt idx="1019">
                  <c:v>2.9396763569224191</c:v>
                </c:pt>
                <c:pt idx="1020">
                  <c:v>2.9376502758831644</c:v>
                </c:pt>
                <c:pt idx="1021">
                  <c:v>2.9284200573749777</c:v>
                </c:pt>
                <c:pt idx="1022">
                  <c:v>2.9203495876344348</c:v>
                </c:pt>
                <c:pt idx="1023">
                  <c:v>2.9081427310411838</c:v>
                </c:pt>
                <c:pt idx="1024">
                  <c:v>2.9028667495210532</c:v>
                </c:pt>
                <c:pt idx="1025">
                  <c:v>2.9010803673467351</c:v>
                </c:pt>
                <c:pt idx="1026">
                  <c:v>2.8965105211987257</c:v>
                </c:pt>
                <c:pt idx="1027">
                  <c:v>2.8961311161362371</c:v>
                </c:pt>
                <c:pt idx="1028">
                  <c:v>2.8910963711266766</c:v>
                </c:pt>
                <c:pt idx="1029">
                  <c:v>2.8837477124962585</c:v>
                </c:pt>
                <c:pt idx="1030">
                  <c:v>2.8808364724846731</c:v>
                </c:pt>
                <c:pt idx="1031">
                  <c:v>2.8727081270096648</c:v>
                </c:pt>
                <c:pt idx="1032">
                  <c:v>2.8658458208834694</c:v>
                </c:pt>
                <c:pt idx="1033">
                  <c:v>2.8652318174974014</c:v>
                </c:pt>
                <c:pt idx="1034">
                  <c:v>2.864296351984609</c:v>
                </c:pt>
                <c:pt idx="1035">
                  <c:v>2.8640553827912481</c:v>
                </c:pt>
                <c:pt idx="1036">
                  <c:v>2.8638596905425291</c:v>
                </c:pt>
                <c:pt idx="1037">
                  <c:v>2.8502766927247025</c:v>
                </c:pt>
                <c:pt idx="1038">
                  <c:v>2.8426844677510767</c:v>
                </c:pt>
                <c:pt idx="1039">
                  <c:v>2.8391942343620187</c:v>
                </c:pt>
                <c:pt idx="1040">
                  <c:v>2.8358056430651772</c:v>
                </c:pt>
                <c:pt idx="1041">
                  <c:v>2.8348921359664705</c:v>
                </c:pt>
                <c:pt idx="1042">
                  <c:v>2.8345452243806037</c:v>
                </c:pt>
                <c:pt idx="1043">
                  <c:v>2.8284358340594284</c:v>
                </c:pt>
                <c:pt idx="1044">
                  <c:v>2.8269945744817093</c:v>
                </c:pt>
                <c:pt idx="1045">
                  <c:v>2.8235911239326619</c:v>
                </c:pt>
                <c:pt idx="1046">
                  <c:v>2.8119750600251967</c:v>
                </c:pt>
                <c:pt idx="1047">
                  <c:v>2.8035051151133819</c:v>
                </c:pt>
                <c:pt idx="1048">
                  <c:v>2.7978599752843376</c:v>
                </c:pt>
                <c:pt idx="1049">
                  <c:v>2.7960521829073799</c:v>
                </c:pt>
                <c:pt idx="1050">
                  <c:v>2.7912445805693538</c:v>
                </c:pt>
                <c:pt idx="1051">
                  <c:v>2.7893081486356617</c:v>
                </c:pt>
                <c:pt idx="1052">
                  <c:v>2.7869794372744137</c:v>
                </c:pt>
                <c:pt idx="1053">
                  <c:v>2.7740359211805745</c:v>
                </c:pt>
                <c:pt idx="1054">
                  <c:v>2.7629961008964372</c:v>
                </c:pt>
                <c:pt idx="1055">
                  <c:v>2.7594329446844568</c:v>
                </c:pt>
                <c:pt idx="1056">
                  <c:v>2.7563950093054319</c:v>
                </c:pt>
                <c:pt idx="1057">
                  <c:v>2.7523117453317099</c:v>
                </c:pt>
                <c:pt idx="1058">
                  <c:v>2.7490977407905102</c:v>
                </c:pt>
                <c:pt idx="1059">
                  <c:v>2.7449737013697755</c:v>
                </c:pt>
                <c:pt idx="1060">
                  <c:v>2.7427481617962703</c:v>
                </c:pt>
                <c:pt idx="1061">
                  <c:v>2.7242050521295305</c:v>
                </c:pt>
                <c:pt idx="1062">
                  <c:v>2.722048441504243</c:v>
                </c:pt>
                <c:pt idx="1063">
                  <c:v>2.7204421998217896</c:v>
                </c:pt>
                <c:pt idx="1064">
                  <c:v>2.7180638043382457</c:v>
                </c:pt>
                <c:pt idx="1065">
                  <c:v>2.7145448069150455</c:v>
                </c:pt>
                <c:pt idx="1066">
                  <c:v>2.6903415870476994</c:v>
                </c:pt>
                <c:pt idx="1067">
                  <c:v>2.6831478867196554</c:v>
                </c:pt>
                <c:pt idx="1068">
                  <c:v>2.6772958309173092</c:v>
                </c:pt>
                <c:pt idx="1069">
                  <c:v>2.6676322230582072</c:v>
                </c:pt>
                <c:pt idx="1070">
                  <c:v>2.6538095021903056</c:v>
                </c:pt>
                <c:pt idx="1071">
                  <c:v>2.6474636007735373</c:v>
                </c:pt>
                <c:pt idx="1072">
                  <c:v>2.6448215018016517</c:v>
                </c:pt>
                <c:pt idx="1073">
                  <c:v>2.6350410918250131</c:v>
                </c:pt>
                <c:pt idx="1074">
                  <c:v>2.5924637689565366</c:v>
                </c:pt>
                <c:pt idx="1075">
                  <c:v>2.5813404582644055</c:v>
                </c:pt>
                <c:pt idx="1076">
                  <c:v>2.562117427032482</c:v>
                </c:pt>
                <c:pt idx="1077">
                  <c:v>2.5538808908526884</c:v>
                </c:pt>
                <c:pt idx="1078">
                  <c:v>2.5533344004564569</c:v>
                </c:pt>
                <c:pt idx="1079">
                  <c:v>2.5296655255779106</c:v>
                </c:pt>
                <c:pt idx="1080">
                  <c:v>2.5168635938865189</c:v>
                </c:pt>
                <c:pt idx="1081">
                  <c:v>2.5140529405245053</c:v>
                </c:pt>
                <c:pt idx="1082">
                  <c:v>2.5137666857137968</c:v>
                </c:pt>
                <c:pt idx="1083">
                  <c:v>2.5016146757161968</c:v>
                </c:pt>
                <c:pt idx="1084">
                  <c:v>2.4967757194831206</c:v>
                </c:pt>
                <c:pt idx="1085">
                  <c:v>2.4961663756667445</c:v>
                </c:pt>
                <c:pt idx="1086">
                  <c:v>2.4942494898006502</c:v>
                </c:pt>
                <c:pt idx="1087">
                  <c:v>2.4755188226955007</c:v>
                </c:pt>
                <c:pt idx="1088">
                  <c:v>2.4586061608258327</c:v>
                </c:pt>
                <c:pt idx="1089">
                  <c:v>2.4290322607436781</c:v>
                </c:pt>
                <c:pt idx="1090">
                  <c:v>2.4157507130044173</c:v>
                </c:pt>
                <c:pt idx="1091">
                  <c:v>2.3976705159508178</c:v>
                </c:pt>
                <c:pt idx="1092">
                  <c:v>2.3692240984492035</c:v>
                </c:pt>
                <c:pt idx="1093">
                  <c:v>2.3562339214673713</c:v>
                </c:pt>
                <c:pt idx="1094">
                  <c:v>2.3526581540936267</c:v>
                </c:pt>
                <c:pt idx="1095">
                  <c:v>2.3373979619847187</c:v>
                </c:pt>
                <c:pt idx="1096">
                  <c:v>2.3290412029227872</c:v>
                </c:pt>
                <c:pt idx="1097">
                  <c:v>2.3125562457474405</c:v>
                </c:pt>
                <c:pt idx="1098">
                  <c:v>2.2727979659004713</c:v>
                </c:pt>
                <c:pt idx="1099">
                  <c:v>2.2553589151253934</c:v>
                </c:pt>
                <c:pt idx="1100">
                  <c:v>2.2464424864020316</c:v>
                </c:pt>
                <c:pt idx="1101">
                  <c:v>2.2396361431392138</c:v>
                </c:pt>
                <c:pt idx="1102">
                  <c:v>2.2344865093967239</c:v>
                </c:pt>
                <c:pt idx="1103">
                  <c:v>2.2188532641449545</c:v>
                </c:pt>
                <c:pt idx="1104">
                  <c:v>2.2130954879652043</c:v>
                </c:pt>
                <c:pt idx="1105">
                  <c:v>2.144689429109675</c:v>
                </c:pt>
                <c:pt idx="1106">
                  <c:v>2.1352461250841133</c:v>
                </c:pt>
                <c:pt idx="1107">
                  <c:v>2.0995324294341318</c:v>
                </c:pt>
                <c:pt idx="1108">
                  <c:v>2.0825536779487379</c:v>
                </c:pt>
                <c:pt idx="1109">
                  <c:v>2.0723172845187712</c:v>
                </c:pt>
                <c:pt idx="1110">
                  <c:v>2.0719251173258018</c:v>
                </c:pt>
                <c:pt idx="1111">
                  <c:v>2.0390351636456496</c:v>
                </c:pt>
                <c:pt idx="1112">
                  <c:v>2.0295178842910797</c:v>
                </c:pt>
                <c:pt idx="1113">
                  <c:v>2.0261517176384078</c:v>
                </c:pt>
                <c:pt idx="1114">
                  <c:v>2.0096269851298421</c:v>
                </c:pt>
                <c:pt idx="1115">
                  <c:v>2.0070707886980754</c:v>
                </c:pt>
                <c:pt idx="1116">
                  <c:v>1.9978731259927502</c:v>
                </c:pt>
                <c:pt idx="1117">
                  <c:v>1.9787704238132382</c:v>
                </c:pt>
                <c:pt idx="1118">
                  <c:v>1.9612647343970921</c:v>
                </c:pt>
                <c:pt idx="1119">
                  <c:v>1.9595528209198336</c:v>
                </c:pt>
                <c:pt idx="1120">
                  <c:v>1.9472409344393398</c:v>
                </c:pt>
                <c:pt idx="1121">
                  <c:v>1.9451065660166478</c:v>
                </c:pt>
                <c:pt idx="1122">
                  <c:v>1.9450571558004139</c:v>
                </c:pt>
                <c:pt idx="1123">
                  <c:v>1.944203042283875</c:v>
                </c:pt>
                <c:pt idx="1124">
                  <c:v>1.9411529623211721</c:v>
                </c:pt>
                <c:pt idx="1125">
                  <c:v>1.9280447427868297</c:v>
                </c:pt>
                <c:pt idx="1126">
                  <c:v>1.9274081643555427</c:v>
                </c:pt>
                <c:pt idx="1127">
                  <c:v>1.9164761221510198</c:v>
                </c:pt>
                <c:pt idx="1128">
                  <c:v>1.9105203984442887</c:v>
                </c:pt>
                <c:pt idx="1129">
                  <c:v>1.900106745045359</c:v>
                </c:pt>
                <c:pt idx="1130">
                  <c:v>1.8773263898068018</c:v>
                </c:pt>
                <c:pt idx="1131">
                  <c:v>1.8655115039459145</c:v>
                </c:pt>
                <c:pt idx="1132">
                  <c:v>1.8587645234713719</c:v>
                </c:pt>
                <c:pt idx="1133">
                  <c:v>1.8351072844453742</c:v>
                </c:pt>
                <c:pt idx="1134">
                  <c:v>1.8332457852221791</c:v>
                </c:pt>
                <c:pt idx="1135">
                  <c:v>1.8332236716787094</c:v>
                </c:pt>
                <c:pt idx="1136">
                  <c:v>1.8186481969524997</c:v>
                </c:pt>
                <c:pt idx="1137">
                  <c:v>1.7665904331638917</c:v>
                </c:pt>
                <c:pt idx="1138">
                  <c:v>1.7475978678906952</c:v>
                </c:pt>
                <c:pt idx="1139">
                  <c:v>1.7168408142506608</c:v>
                </c:pt>
                <c:pt idx="1140">
                  <c:v>1.7026517095386444</c:v>
                </c:pt>
                <c:pt idx="1141">
                  <c:v>1.6929862025837492</c:v>
                </c:pt>
                <c:pt idx="1142">
                  <c:v>1.676846332727602</c:v>
                </c:pt>
                <c:pt idx="1143">
                  <c:v>1.6596651706919474</c:v>
                </c:pt>
                <c:pt idx="1144">
                  <c:v>1.5983589007473422</c:v>
                </c:pt>
                <c:pt idx="1145">
                  <c:v>1.5332661940867955</c:v>
                </c:pt>
                <c:pt idx="1146">
                  <c:v>1.4761119238438687</c:v>
                </c:pt>
                <c:pt idx="1147">
                  <c:v>1.4697253875885092</c:v>
                </c:pt>
                <c:pt idx="1148">
                  <c:v>1.4385420211676208</c:v>
                </c:pt>
                <c:pt idx="1149">
                  <c:v>1.4185350403756369</c:v>
                </c:pt>
                <c:pt idx="1150">
                  <c:v>1.4035011778705888</c:v>
                </c:pt>
                <c:pt idx="1151">
                  <c:v>1.3786657732643772</c:v>
                </c:pt>
                <c:pt idx="1152">
                  <c:v>1.3321561758036247</c:v>
                </c:pt>
                <c:pt idx="1153">
                  <c:v>1.3241255797137477</c:v>
                </c:pt>
                <c:pt idx="1154">
                  <c:v>1.3177254303174215</c:v>
                </c:pt>
                <c:pt idx="1155">
                  <c:v>1.3130794688440535</c:v>
                </c:pt>
                <c:pt idx="1156">
                  <c:v>1.2913307377190664</c:v>
                </c:pt>
                <c:pt idx="1157">
                  <c:v>1.2665710375411583</c:v>
                </c:pt>
                <c:pt idx="1158">
                  <c:v>1.0957011532928147</c:v>
                </c:pt>
                <c:pt idx="1159">
                  <c:v>1.0883778657066472</c:v>
                </c:pt>
                <c:pt idx="1160">
                  <c:v>1.0819287039495522</c:v>
                </c:pt>
                <c:pt idx="1161">
                  <c:v>1.0741298109437702</c:v>
                </c:pt>
                <c:pt idx="1162">
                  <c:v>1.0271228189573405</c:v>
                </c:pt>
                <c:pt idx="1163">
                  <c:v>1.0202035949396864</c:v>
                </c:pt>
                <c:pt idx="1164">
                  <c:v>0.97715703534950493</c:v>
                </c:pt>
                <c:pt idx="1165">
                  <c:v>0.89150443367144105</c:v>
                </c:pt>
                <c:pt idx="1166">
                  <c:v>0.87560514445912296</c:v>
                </c:pt>
                <c:pt idx="1167">
                  <c:v>0.87496903180517582</c:v>
                </c:pt>
                <c:pt idx="1168">
                  <c:v>0.72386779470628149</c:v>
                </c:pt>
                <c:pt idx="1169">
                  <c:v>0.64704969904438481</c:v>
                </c:pt>
                <c:pt idx="1170">
                  <c:v>0.56270943771108484</c:v>
                </c:pt>
                <c:pt idx="1171">
                  <c:v>0.55726194708005206</c:v>
                </c:pt>
                <c:pt idx="1172">
                  <c:v>0.39951454448630225</c:v>
                </c:pt>
                <c:pt idx="1173">
                  <c:v>0.36773972438747782</c:v>
                </c:pt>
                <c:pt idx="1174">
                  <c:v>0.28174113854542071</c:v>
                </c:pt>
                <c:pt idx="1175">
                  <c:v>0.28162314475035916</c:v>
                </c:pt>
                <c:pt idx="1176">
                  <c:v>0.27697915504864778</c:v>
                </c:pt>
                <c:pt idx="1177">
                  <c:v>0.15799389415771511</c:v>
                </c:pt>
                <c:pt idx="1178">
                  <c:v>0.11388606399561067</c:v>
                </c:pt>
                <c:pt idx="1179">
                  <c:v>0.11305202266381344</c:v>
                </c:pt>
                <c:pt idx="1180">
                  <c:v>7.6009421723131479E-2</c:v>
                </c:pt>
                <c:pt idx="1181">
                  <c:v>6.561583525808995E-2</c:v>
                </c:pt>
                <c:pt idx="1182">
                  <c:v>1.5141182509598521E-2</c:v>
                </c:pt>
                <c:pt idx="1183">
                  <c:v>2.5938869536138486E-3</c:v>
                </c:pt>
                <c:pt idx="1184">
                  <c:v>1.5550025598525569E-3</c:v>
                </c:pt>
                <c:pt idx="1185">
                  <c:v>2.1742179154764319E-4</c:v>
                </c:pt>
                <c:pt idx="1186">
                  <c:v>2.1674568156747142E-4</c:v>
                </c:pt>
                <c:pt idx="1187">
                  <c:v>2.1649680042858165E-4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198040"/>
        <c:axId val="542195688"/>
      </c:scatterChart>
      <c:valAx>
        <c:axId val="542198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2195688"/>
        <c:crosses val="autoZero"/>
        <c:crossBetween val="midCat"/>
      </c:valAx>
      <c:valAx>
        <c:axId val="54219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219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gap_distance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1-sigma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Sheet1!$B$2:$B$1189</c:f>
              <c:numCache>
                <c:formatCode>General</c:formatCode>
                <c:ptCount val="1188"/>
                <c:pt idx="0">
                  <c:v>5.885157527735517E-3</c:v>
                </c:pt>
                <c:pt idx="1">
                  <c:v>7.326729533351747E-3</c:v>
                </c:pt>
                <c:pt idx="2">
                  <c:v>8.2702184145645868E-3</c:v>
                </c:pt>
                <c:pt idx="3">
                  <c:v>1.1369336700103616E-2</c:v>
                </c:pt>
                <c:pt idx="4">
                  <c:v>1.1822279976746784E-2</c:v>
                </c:pt>
                <c:pt idx="5">
                  <c:v>1.2408890411032051E-2</c:v>
                </c:pt>
                <c:pt idx="6">
                  <c:v>1.4192520373305229E-2</c:v>
                </c:pt>
                <c:pt idx="7">
                  <c:v>1.5462548912246044E-2</c:v>
                </c:pt>
                <c:pt idx="8">
                  <c:v>1.5595072541222228E-2</c:v>
                </c:pt>
                <c:pt idx="9">
                  <c:v>1.6041562114813324E-2</c:v>
                </c:pt>
                <c:pt idx="10">
                  <c:v>1.8030615201659397E-2</c:v>
                </c:pt>
                <c:pt idx="11">
                  <c:v>1.8581889804524115E-2</c:v>
                </c:pt>
                <c:pt idx="12">
                  <c:v>1.9028865107483101E-2</c:v>
                </c:pt>
                <c:pt idx="13">
                  <c:v>1.9448197523328603E-2</c:v>
                </c:pt>
                <c:pt idx="14">
                  <c:v>2.0638806741468969E-2</c:v>
                </c:pt>
                <c:pt idx="15">
                  <c:v>2.1420536637389579E-2</c:v>
                </c:pt>
                <c:pt idx="16">
                  <c:v>2.1929519184726159E-2</c:v>
                </c:pt>
                <c:pt idx="17">
                  <c:v>2.2046771257233127E-2</c:v>
                </c:pt>
                <c:pt idx="18">
                  <c:v>2.2073359548625403E-2</c:v>
                </c:pt>
                <c:pt idx="19">
                  <c:v>2.2873417167916979E-2</c:v>
                </c:pt>
                <c:pt idx="20">
                  <c:v>2.3034176616660764E-2</c:v>
                </c:pt>
                <c:pt idx="21">
                  <c:v>2.3447347916270078E-2</c:v>
                </c:pt>
                <c:pt idx="22">
                  <c:v>2.3539211964057546E-2</c:v>
                </c:pt>
                <c:pt idx="23">
                  <c:v>2.37432012787103E-2</c:v>
                </c:pt>
                <c:pt idx="24">
                  <c:v>2.3847695853500005E-2</c:v>
                </c:pt>
                <c:pt idx="25">
                  <c:v>2.4199251627559079E-2</c:v>
                </c:pt>
                <c:pt idx="26">
                  <c:v>2.4230201144923299E-2</c:v>
                </c:pt>
                <c:pt idx="27">
                  <c:v>2.425556268387899E-2</c:v>
                </c:pt>
                <c:pt idx="28">
                  <c:v>2.4337484527736888E-2</c:v>
                </c:pt>
                <c:pt idx="29">
                  <c:v>2.439675645730888E-2</c:v>
                </c:pt>
                <c:pt idx="30">
                  <c:v>2.4516711360557619E-2</c:v>
                </c:pt>
                <c:pt idx="31">
                  <c:v>2.4907586165900268E-2</c:v>
                </c:pt>
                <c:pt idx="32">
                  <c:v>2.5310816270878899E-2</c:v>
                </c:pt>
                <c:pt idx="33">
                  <c:v>2.5829226997778253E-2</c:v>
                </c:pt>
                <c:pt idx="34">
                  <c:v>2.6388365255890552E-2</c:v>
                </c:pt>
                <c:pt idx="35">
                  <c:v>2.6685682331005971E-2</c:v>
                </c:pt>
                <c:pt idx="36">
                  <c:v>2.6748419198455976E-2</c:v>
                </c:pt>
                <c:pt idx="37">
                  <c:v>2.7238343606182599E-2</c:v>
                </c:pt>
                <c:pt idx="38">
                  <c:v>2.7556554675034883E-2</c:v>
                </c:pt>
                <c:pt idx="39">
                  <c:v>2.7649876808544645E-2</c:v>
                </c:pt>
                <c:pt idx="40">
                  <c:v>2.8235065936355774E-2</c:v>
                </c:pt>
                <c:pt idx="41">
                  <c:v>2.8527822279281172E-2</c:v>
                </c:pt>
                <c:pt idx="42">
                  <c:v>2.8549908936521495E-2</c:v>
                </c:pt>
                <c:pt idx="43">
                  <c:v>2.918050975819032E-2</c:v>
                </c:pt>
                <c:pt idx="44">
                  <c:v>2.9741990854746481E-2</c:v>
                </c:pt>
                <c:pt idx="45">
                  <c:v>3.0187722616565833E-2</c:v>
                </c:pt>
                <c:pt idx="46">
                  <c:v>3.0336292176587579E-2</c:v>
                </c:pt>
                <c:pt idx="47">
                  <c:v>3.0720566951314494E-2</c:v>
                </c:pt>
                <c:pt idx="48">
                  <c:v>3.0745735530147346E-2</c:v>
                </c:pt>
                <c:pt idx="49">
                  <c:v>3.0795588120605448E-2</c:v>
                </c:pt>
                <c:pt idx="50">
                  <c:v>3.110017379582029E-2</c:v>
                </c:pt>
                <c:pt idx="51">
                  <c:v>3.1254594093885785E-2</c:v>
                </c:pt>
                <c:pt idx="52">
                  <c:v>3.1305081268680299E-2</c:v>
                </c:pt>
                <c:pt idx="53">
                  <c:v>3.2421784611911295E-2</c:v>
                </c:pt>
                <c:pt idx="54">
                  <c:v>3.2498675052211191E-2</c:v>
                </c:pt>
                <c:pt idx="55">
                  <c:v>3.2541646292962509E-2</c:v>
                </c:pt>
                <c:pt idx="56">
                  <c:v>3.2880279360765416E-2</c:v>
                </c:pt>
                <c:pt idx="57">
                  <c:v>3.3560232666536176E-2</c:v>
                </c:pt>
                <c:pt idx="58">
                  <c:v>3.3727341489602901E-2</c:v>
                </c:pt>
                <c:pt idx="59">
                  <c:v>3.4317046877790282E-2</c:v>
                </c:pt>
                <c:pt idx="60">
                  <c:v>3.4844233470908217E-2</c:v>
                </c:pt>
                <c:pt idx="61">
                  <c:v>3.506071390810786E-2</c:v>
                </c:pt>
                <c:pt idx="62">
                  <c:v>3.5350140956776903E-2</c:v>
                </c:pt>
                <c:pt idx="63">
                  <c:v>3.5736093303383502E-2</c:v>
                </c:pt>
                <c:pt idx="64">
                  <c:v>3.6129147796232525E-2</c:v>
                </c:pt>
                <c:pt idx="65">
                  <c:v>3.6169013838787616E-2</c:v>
                </c:pt>
                <c:pt idx="66">
                  <c:v>3.6282474197088285E-2</c:v>
                </c:pt>
                <c:pt idx="67">
                  <c:v>3.6659531005165676E-2</c:v>
                </c:pt>
                <c:pt idx="68">
                  <c:v>3.6666668259519128E-2</c:v>
                </c:pt>
                <c:pt idx="69">
                  <c:v>3.6864368495224807E-2</c:v>
                </c:pt>
                <c:pt idx="70">
                  <c:v>3.7280244129925998E-2</c:v>
                </c:pt>
                <c:pt idx="71">
                  <c:v>3.7653079432702269E-2</c:v>
                </c:pt>
                <c:pt idx="72">
                  <c:v>3.8083285261856011E-2</c:v>
                </c:pt>
                <c:pt idx="73">
                  <c:v>3.9116189015134514E-2</c:v>
                </c:pt>
                <c:pt idx="74">
                  <c:v>3.9351495692304179E-2</c:v>
                </c:pt>
                <c:pt idx="75">
                  <c:v>3.970953463692007E-2</c:v>
                </c:pt>
                <c:pt idx="76">
                  <c:v>3.9959161209960251E-2</c:v>
                </c:pt>
                <c:pt idx="77">
                  <c:v>3.9967206312867459E-2</c:v>
                </c:pt>
                <c:pt idx="78">
                  <c:v>4.0025997290318471E-2</c:v>
                </c:pt>
                <c:pt idx="79">
                  <c:v>4.0602962467305534E-2</c:v>
                </c:pt>
                <c:pt idx="80">
                  <c:v>4.0816874630542441E-2</c:v>
                </c:pt>
                <c:pt idx="81">
                  <c:v>4.0963998779300563E-2</c:v>
                </c:pt>
                <c:pt idx="82">
                  <c:v>4.1066124754747593E-2</c:v>
                </c:pt>
                <c:pt idx="83">
                  <c:v>4.1112664775718982E-2</c:v>
                </c:pt>
                <c:pt idx="84">
                  <c:v>4.1215893136887151E-2</c:v>
                </c:pt>
                <c:pt idx="85">
                  <c:v>4.1520859442666744E-2</c:v>
                </c:pt>
                <c:pt idx="86">
                  <c:v>4.2335278042726632E-2</c:v>
                </c:pt>
                <c:pt idx="87">
                  <c:v>4.2395409606064999E-2</c:v>
                </c:pt>
                <c:pt idx="88">
                  <c:v>4.2429941100708669E-2</c:v>
                </c:pt>
                <c:pt idx="89">
                  <c:v>4.2679649911894692E-2</c:v>
                </c:pt>
                <c:pt idx="90">
                  <c:v>4.2739737772458271E-2</c:v>
                </c:pt>
                <c:pt idx="91">
                  <c:v>4.279285569044021E-2</c:v>
                </c:pt>
                <c:pt idx="92">
                  <c:v>4.3711083548222146E-2</c:v>
                </c:pt>
                <c:pt idx="93">
                  <c:v>4.4055729910669847E-2</c:v>
                </c:pt>
                <c:pt idx="94">
                  <c:v>4.4181812860459281E-2</c:v>
                </c:pt>
                <c:pt idx="95">
                  <c:v>4.4229925977331677E-2</c:v>
                </c:pt>
                <c:pt idx="96">
                  <c:v>4.4424364327955018E-2</c:v>
                </c:pt>
                <c:pt idx="97">
                  <c:v>4.4437646060214428E-2</c:v>
                </c:pt>
                <c:pt idx="98">
                  <c:v>4.5070295210547194E-2</c:v>
                </c:pt>
                <c:pt idx="99">
                  <c:v>4.5138535429922237E-2</c:v>
                </c:pt>
                <c:pt idx="100">
                  <c:v>4.5235932097111659E-2</c:v>
                </c:pt>
                <c:pt idx="101">
                  <c:v>4.5306740501765648E-2</c:v>
                </c:pt>
                <c:pt idx="102">
                  <c:v>4.5845039290000597E-2</c:v>
                </c:pt>
                <c:pt idx="103">
                  <c:v>4.590100126122211E-2</c:v>
                </c:pt>
                <c:pt idx="104">
                  <c:v>4.6234222367428537E-2</c:v>
                </c:pt>
                <c:pt idx="105">
                  <c:v>4.6320693204492384E-2</c:v>
                </c:pt>
                <c:pt idx="106">
                  <c:v>4.715961178937917E-2</c:v>
                </c:pt>
                <c:pt idx="107">
                  <c:v>4.7188449381419625E-2</c:v>
                </c:pt>
                <c:pt idx="108">
                  <c:v>4.7426824808023085E-2</c:v>
                </c:pt>
                <c:pt idx="109">
                  <c:v>4.7545978396626595E-2</c:v>
                </c:pt>
                <c:pt idx="110">
                  <c:v>4.8613910009601378E-2</c:v>
                </c:pt>
                <c:pt idx="111">
                  <c:v>4.8802497703969105E-2</c:v>
                </c:pt>
                <c:pt idx="112">
                  <c:v>4.9314749749583227E-2</c:v>
                </c:pt>
                <c:pt idx="113">
                  <c:v>4.9934803053231169E-2</c:v>
                </c:pt>
                <c:pt idx="114">
                  <c:v>5.001092623146889E-2</c:v>
                </c:pt>
                <c:pt idx="115">
                  <c:v>5.1111596971435191E-2</c:v>
                </c:pt>
                <c:pt idx="116">
                  <c:v>5.1415269704717707E-2</c:v>
                </c:pt>
                <c:pt idx="117">
                  <c:v>5.1672474592206842E-2</c:v>
                </c:pt>
                <c:pt idx="118">
                  <c:v>5.2000089385443073E-2</c:v>
                </c:pt>
                <c:pt idx="119">
                  <c:v>5.2400651398778406E-2</c:v>
                </c:pt>
                <c:pt idx="120">
                  <c:v>5.2681345944046387E-2</c:v>
                </c:pt>
                <c:pt idx="121">
                  <c:v>5.2887809316391546E-2</c:v>
                </c:pt>
                <c:pt idx="122">
                  <c:v>5.3013531472486386E-2</c:v>
                </c:pt>
                <c:pt idx="123">
                  <c:v>5.317946391023589E-2</c:v>
                </c:pt>
                <c:pt idx="124">
                  <c:v>5.3399373689329593E-2</c:v>
                </c:pt>
                <c:pt idx="125">
                  <c:v>5.3715022893995018E-2</c:v>
                </c:pt>
                <c:pt idx="126">
                  <c:v>5.3925099006921245E-2</c:v>
                </c:pt>
                <c:pt idx="127">
                  <c:v>5.4357752330108637E-2</c:v>
                </c:pt>
                <c:pt idx="128">
                  <c:v>5.4396467295063977E-2</c:v>
                </c:pt>
                <c:pt idx="129">
                  <c:v>5.5320338610523399E-2</c:v>
                </c:pt>
                <c:pt idx="130">
                  <c:v>5.5470022851705186E-2</c:v>
                </c:pt>
                <c:pt idx="131">
                  <c:v>5.5794656784305549E-2</c:v>
                </c:pt>
                <c:pt idx="132">
                  <c:v>5.5951924976936469E-2</c:v>
                </c:pt>
                <c:pt idx="133">
                  <c:v>5.6105519822955016E-2</c:v>
                </c:pt>
                <c:pt idx="134">
                  <c:v>5.6133209409600517E-2</c:v>
                </c:pt>
                <c:pt idx="135">
                  <c:v>5.6156615444444224E-2</c:v>
                </c:pt>
                <c:pt idx="136">
                  <c:v>5.6744912405833084E-2</c:v>
                </c:pt>
                <c:pt idx="137">
                  <c:v>5.7076544425464538E-2</c:v>
                </c:pt>
                <c:pt idx="138">
                  <c:v>5.7450669775505087E-2</c:v>
                </c:pt>
                <c:pt idx="139">
                  <c:v>5.7711681101739201E-2</c:v>
                </c:pt>
                <c:pt idx="140">
                  <c:v>5.7793636120767308E-2</c:v>
                </c:pt>
                <c:pt idx="141">
                  <c:v>5.8753393975476423E-2</c:v>
                </c:pt>
                <c:pt idx="142">
                  <c:v>5.8775724203879005E-2</c:v>
                </c:pt>
                <c:pt idx="143">
                  <c:v>5.9213974096173856E-2</c:v>
                </c:pt>
                <c:pt idx="144">
                  <c:v>5.9376594769367505E-2</c:v>
                </c:pt>
                <c:pt idx="145">
                  <c:v>5.9513439909601451E-2</c:v>
                </c:pt>
                <c:pt idx="146">
                  <c:v>5.9684754796775652E-2</c:v>
                </c:pt>
                <c:pt idx="147">
                  <c:v>5.9706908854691612E-2</c:v>
                </c:pt>
                <c:pt idx="148">
                  <c:v>5.9741250844167697E-2</c:v>
                </c:pt>
                <c:pt idx="149">
                  <c:v>6.0753997875998236E-2</c:v>
                </c:pt>
                <c:pt idx="150">
                  <c:v>6.1134945032137844E-2</c:v>
                </c:pt>
                <c:pt idx="151">
                  <c:v>6.1632106135938509E-2</c:v>
                </c:pt>
                <c:pt idx="152">
                  <c:v>6.2411452611624445E-2</c:v>
                </c:pt>
                <c:pt idx="153">
                  <c:v>6.2416861689327988E-2</c:v>
                </c:pt>
                <c:pt idx="154">
                  <c:v>6.2875384654876701E-2</c:v>
                </c:pt>
                <c:pt idx="155">
                  <c:v>6.2916981246689485E-2</c:v>
                </c:pt>
                <c:pt idx="156">
                  <c:v>6.3048539130102429E-2</c:v>
                </c:pt>
                <c:pt idx="157">
                  <c:v>6.3174614630956916E-2</c:v>
                </c:pt>
                <c:pt idx="158">
                  <c:v>6.3211694144033395E-2</c:v>
                </c:pt>
                <c:pt idx="159">
                  <c:v>6.3267715139329495E-2</c:v>
                </c:pt>
                <c:pt idx="160">
                  <c:v>6.3464386296197731E-2</c:v>
                </c:pt>
                <c:pt idx="161">
                  <c:v>6.4126856418779146E-2</c:v>
                </c:pt>
                <c:pt idx="162">
                  <c:v>6.4340862229249812E-2</c:v>
                </c:pt>
                <c:pt idx="163">
                  <c:v>6.4557170203717235E-2</c:v>
                </c:pt>
                <c:pt idx="164">
                  <c:v>6.484547867852633E-2</c:v>
                </c:pt>
                <c:pt idx="165">
                  <c:v>6.4927307526257083E-2</c:v>
                </c:pt>
                <c:pt idx="166">
                  <c:v>6.5291273912568171E-2</c:v>
                </c:pt>
                <c:pt idx="167">
                  <c:v>6.5888875179790335E-2</c:v>
                </c:pt>
                <c:pt idx="168">
                  <c:v>6.6268105647385445E-2</c:v>
                </c:pt>
                <c:pt idx="169">
                  <c:v>6.6342100486962929E-2</c:v>
                </c:pt>
                <c:pt idx="170">
                  <c:v>6.6612649293928294E-2</c:v>
                </c:pt>
                <c:pt idx="171">
                  <c:v>6.7810525269858701E-2</c:v>
                </c:pt>
                <c:pt idx="172">
                  <c:v>6.8449518412067908E-2</c:v>
                </c:pt>
                <c:pt idx="173">
                  <c:v>6.8721989732466154E-2</c:v>
                </c:pt>
                <c:pt idx="174">
                  <c:v>6.9531134723671742E-2</c:v>
                </c:pt>
                <c:pt idx="175">
                  <c:v>6.9580672701315807E-2</c:v>
                </c:pt>
                <c:pt idx="176">
                  <c:v>7.0050407272419929E-2</c:v>
                </c:pt>
                <c:pt idx="177">
                  <c:v>7.1419699335963982E-2</c:v>
                </c:pt>
                <c:pt idx="178">
                  <c:v>7.2004254793726574E-2</c:v>
                </c:pt>
                <c:pt idx="179">
                  <c:v>7.211495912633184E-2</c:v>
                </c:pt>
                <c:pt idx="180">
                  <c:v>7.2131395717417932E-2</c:v>
                </c:pt>
                <c:pt idx="181">
                  <c:v>7.2159852708126193E-2</c:v>
                </c:pt>
                <c:pt idx="182">
                  <c:v>7.2527268729088351E-2</c:v>
                </c:pt>
                <c:pt idx="183">
                  <c:v>7.260711052369119E-2</c:v>
                </c:pt>
                <c:pt idx="184">
                  <c:v>7.2659673352311313E-2</c:v>
                </c:pt>
                <c:pt idx="185">
                  <c:v>7.2971172377580551E-2</c:v>
                </c:pt>
                <c:pt idx="186">
                  <c:v>7.3219017991653534E-2</c:v>
                </c:pt>
                <c:pt idx="187">
                  <c:v>7.3897109498729754E-2</c:v>
                </c:pt>
                <c:pt idx="188">
                  <c:v>7.4548016615804111E-2</c:v>
                </c:pt>
                <c:pt idx="189">
                  <c:v>7.5075170485226134E-2</c:v>
                </c:pt>
                <c:pt idx="190">
                  <c:v>7.5178966480943035E-2</c:v>
                </c:pt>
                <c:pt idx="191">
                  <c:v>7.5233517086138318E-2</c:v>
                </c:pt>
                <c:pt idx="192">
                  <c:v>7.551698784593186E-2</c:v>
                </c:pt>
                <c:pt idx="193">
                  <c:v>7.59361102642689E-2</c:v>
                </c:pt>
                <c:pt idx="194">
                  <c:v>7.6320027362165116E-2</c:v>
                </c:pt>
                <c:pt idx="195">
                  <c:v>7.6392916905470537E-2</c:v>
                </c:pt>
                <c:pt idx="196">
                  <c:v>7.6821482258025334E-2</c:v>
                </c:pt>
                <c:pt idx="197">
                  <c:v>7.700318264008249E-2</c:v>
                </c:pt>
                <c:pt idx="198">
                  <c:v>7.7851015891238953E-2</c:v>
                </c:pt>
                <c:pt idx="199">
                  <c:v>7.8587770418452552E-2</c:v>
                </c:pt>
                <c:pt idx="200">
                  <c:v>7.8660454114154094E-2</c:v>
                </c:pt>
                <c:pt idx="201">
                  <c:v>7.8871938569795574E-2</c:v>
                </c:pt>
                <c:pt idx="202">
                  <c:v>7.9033452799206469E-2</c:v>
                </c:pt>
                <c:pt idx="203">
                  <c:v>8.1741247973279377E-2</c:v>
                </c:pt>
                <c:pt idx="204">
                  <c:v>8.2535993358470783E-2</c:v>
                </c:pt>
                <c:pt idx="205">
                  <c:v>8.3297942731127853E-2</c:v>
                </c:pt>
                <c:pt idx="206">
                  <c:v>8.40972122649737E-2</c:v>
                </c:pt>
                <c:pt idx="207">
                  <c:v>8.4145376970470989E-2</c:v>
                </c:pt>
                <c:pt idx="208">
                  <c:v>8.4193585489545614E-2</c:v>
                </c:pt>
                <c:pt idx="209">
                  <c:v>8.4377045041593657E-2</c:v>
                </c:pt>
                <c:pt idx="210">
                  <c:v>8.5101615033671502E-2</c:v>
                </c:pt>
                <c:pt idx="211">
                  <c:v>8.5153225900544999E-2</c:v>
                </c:pt>
                <c:pt idx="212">
                  <c:v>8.5609535134633777E-2</c:v>
                </c:pt>
                <c:pt idx="213">
                  <c:v>8.6323759163984909E-2</c:v>
                </c:pt>
                <c:pt idx="214">
                  <c:v>8.6676708398557692E-2</c:v>
                </c:pt>
                <c:pt idx="215">
                  <c:v>8.7325965993498414E-2</c:v>
                </c:pt>
                <c:pt idx="216">
                  <c:v>8.7850381616297699E-2</c:v>
                </c:pt>
                <c:pt idx="217">
                  <c:v>8.8372957628816126E-2</c:v>
                </c:pt>
                <c:pt idx="218">
                  <c:v>8.8688663349689043E-2</c:v>
                </c:pt>
                <c:pt idx="219">
                  <c:v>8.8965681055074533E-2</c:v>
                </c:pt>
                <c:pt idx="220">
                  <c:v>8.9535692948230119E-2</c:v>
                </c:pt>
                <c:pt idx="221">
                  <c:v>9.1635416283632753E-2</c:v>
                </c:pt>
                <c:pt idx="222">
                  <c:v>9.236764037241553E-2</c:v>
                </c:pt>
                <c:pt idx="223">
                  <c:v>9.4084273619191097E-2</c:v>
                </c:pt>
                <c:pt idx="224">
                  <c:v>9.5388713936389272E-2</c:v>
                </c:pt>
                <c:pt idx="225">
                  <c:v>9.6320860819773674E-2</c:v>
                </c:pt>
                <c:pt idx="226">
                  <c:v>9.6626141022682729E-2</c:v>
                </c:pt>
                <c:pt idx="227">
                  <c:v>9.7387601164695303E-2</c:v>
                </c:pt>
                <c:pt idx="228">
                  <c:v>9.7697838205726098E-2</c:v>
                </c:pt>
                <c:pt idx="229">
                  <c:v>9.8275368758293777E-2</c:v>
                </c:pt>
                <c:pt idx="230">
                  <c:v>9.8421081418576861E-2</c:v>
                </c:pt>
                <c:pt idx="231">
                  <c:v>9.8943969752756683E-2</c:v>
                </c:pt>
                <c:pt idx="232">
                  <c:v>9.9034233775288527E-2</c:v>
                </c:pt>
                <c:pt idx="233">
                  <c:v>9.9988756311916491E-2</c:v>
                </c:pt>
                <c:pt idx="234">
                  <c:v>0.10023398031636506</c:v>
                </c:pt>
                <c:pt idx="235">
                  <c:v>0.10151667473127238</c:v>
                </c:pt>
                <c:pt idx="236">
                  <c:v>0.10196620459159815</c:v>
                </c:pt>
                <c:pt idx="237">
                  <c:v>0.10312014339984663</c:v>
                </c:pt>
                <c:pt idx="238">
                  <c:v>0.10334977040338987</c:v>
                </c:pt>
                <c:pt idx="239">
                  <c:v>0.10535502775897619</c:v>
                </c:pt>
                <c:pt idx="240">
                  <c:v>0.10979017128049336</c:v>
                </c:pt>
                <c:pt idx="241">
                  <c:v>0.11026344723004636</c:v>
                </c:pt>
                <c:pt idx="242">
                  <c:v>0.11126404144828976</c:v>
                </c:pt>
                <c:pt idx="243">
                  <c:v>0.11152243737455074</c:v>
                </c:pt>
                <c:pt idx="244">
                  <c:v>0.11183346450106468</c:v>
                </c:pt>
                <c:pt idx="245">
                  <c:v>0.11208793061611397</c:v>
                </c:pt>
                <c:pt idx="246">
                  <c:v>0.11245687038083887</c:v>
                </c:pt>
                <c:pt idx="247">
                  <c:v>0.1126621100464277</c:v>
                </c:pt>
                <c:pt idx="248">
                  <c:v>0.11345270565618282</c:v>
                </c:pt>
                <c:pt idx="249">
                  <c:v>0.1144315594606624</c:v>
                </c:pt>
                <c:pt idx="250">
                  <c:v>0.11577983041802496</c:v>
                </c:pt>
                <c:pt idx="251">
                  <c:v>0.11674726151357191</c:v>
                </c:pt>
                <c:pt idx="252">
                  <c:v>0.11731554627856178</c:v>
                </c:pt>
                <c:pt idx="253">
                  <c:v>0.11750691685739238</c:v>
                </c:pt>
                <c:pt idx="254">
                  <c:v>0.11964452850434443</c:v>
                </c:pt>
                <c:pt idx="255">
                  <c:v>0.12006246579228587</c:v>
                </c:pt>
                <c:pt idx="256">
                  <c:v>0.12057443878264644</c:v>
                </c:pt>
                <c:pt idx="257">
                  <c:v>0.12125456286227963</c:v>
                </c:pt>
                <c:pt idx="258">
                  <c:v>0.12178998698100207</c:v>
                </c:pt>
                <c:pt idx="259">
                  <c:v>0.12186340718845265</c:v>
                </c:pt>
                <c:pt idx="260">
                  <c:v>0.12268373313194197</c:v>
                </c:pt>
                <c:pt idx="261">
                  <c:v>0.12325399735383631</c:v>
                </c:pt>
                <c:pt idx="262">
                  <c:v>0.12340446410277658</c:v>
                </c:pt>
                <c:pt idx="263">
                  <c:v>0.12340759604780958</c:v>
                </c:pt>
                <c:pt idx="264">
                  <c:v>0.12396190681045786</c:v>
                </c:pt>
                <c:pt idx="265">
                  <c:v>0.12399460732189072</c:v>
                </c:pt>
                <c:pt idx="266">
                  <c:v>0.12421713023460142</c:v>
                </c:pt>
                <c:pt idx="267">
                  <c:v>0.12423781552398319</c:v>
                </c:pt>
                <c:pt idx="268">
                  <c:v>0.12572523907460462</c:v>
                </c:pt>
                <c:pt idx="269">
                  <c:v>0.12806872221452448</c:v>
                </c:pt>
                <c:pt idx="270">
                  <c:v>0.12905663366386222</c:v>
                </c:pt>
                <c:pt idx="271">
                  <c:v>0.13000989701045659</c:v>
                </c:pt>
                <c:pt idx="272">
                  <c:v>0.13242926477817485</c:v>
                </c:pt>
                <c:pt idx="273">
                  <c:v>0.13243368619188495</c:v>
                </c:pt>
                <c:pt idx="274">
                  <c:v>0.13276852053238247</c:v>
                </c:pt>
                <c:pt idx="275">
                  <c:v>0.13299240266944912</c:v>
                </c:pt>
                <c:pt idx="276">
                  <c:v>0.13553616255219378</c:v>
                </c:pt>
                <c:pt idx="277">
                  <c:v>0.13597670564885822</c:v>
                </c:pt>
                <c:pt idx="278">
                  <c:v>0.13765554990026849</c:v>
                </c:pt>
                <c:pt idx="279">
                  <c:v>0.13780396110601634</c:v>
                </c:pt>
                <c:pt idx="280">
                  <c:v>0.13807070902838398</c:v>
                </c:pt>
                <c:pt idx="281">
                  <c:v>0.13929272620372224</c:v>
                </c:pt>
                <c:pt idx="282">
                  <c:v>0.13945676503778878</c:v>
                </c:pt>
                <c:pt idx="283">
                  <c:v>0.13956924281700925</c:v>
                </c:pt>
                <c:pt idx="284">
                  <c:v>0.14089488024182115</c:v>
                </c:pt>
                <c:pt idx="285">
                  <c:v>0.14119670313862412</c:v>
                </c:pt>
                <c:pt idx="286">
                  <c:v>0.14310924763408298</c:v>
                </c:pt>
                <c:pt idx="287">
                  <c:v>0.14364752332928754</c:v>
                </c:pt>
                <c:pt idx="288">
                  <c:v>0.14679582981815376</c:v>
                </c:pt>
                <c:pt idx="289">
                  <c:v>0.14888014223804105</c:v>
                </c:pt>
                <c:pt idx="290">
                  <c:v>0.14928948215127161</c:v>
                </c:pt>
                <c:pt idx="291">
                  <c:v>0.14935041700721025</c:v>
                </c:pt>
                <c:pt idx="292">
                  <c:v>0.14953247577113141</c:v>
                </c:pt>
                <c:pt idx="293">
                  <c:v>0.1498004304037194</c:v>
                </c:pt>
                <c:pt idx="294">
                  <c:v>0.15007375847249574</c:v>
                </c:pt>
                <c:pt idx="295">
                  <c:v>0.15200831136575879</c:v>
                </c:pt>
                <c:pt idx="296">
                  <c:v>0.15224672075750326</c:v>
                </c:pt>
                <c:pt idx="297">
                  <c:v>0.15241867630725275</c:v>
                </c:pt>
                <c:pt idx="298">
                  <c:v>0.15341592635071716</c:v>
                </c:pt>
                <c:pt idx="299">
                  <c:v>0.15344157499496247</c:v>
                </c:pt>
                <c:pt idx="300">
                  <c:v>0.15451444422651153</c:v>
                </c:pt>
                <c:pt idx="301">
                  <c:v>0.15515077511046541</c:v>
                </c:pt>
                <c:pt idx="302">
                  <c:v>0.15515520179652564</c:v>
                </c:pt>
                <c:pt idx="303">
                  <c:v>0.15537832477779295</c:v>
                </c:pt>
                <c:pt idx="304">
                  <c:v>0.15543798775497886</c:v>
                </c:pt>
                <c:pt idx="305">
                  <c:v>0.15553772324234355</c:v>
                </c:pt>
                <c:pt idx="306">
                  <c:v>0.1571357924926548</c:v>
                </c:pt>
                <c:pt idx="307">
                  <c:v>0.15806112881331619</c:v>
                </c:pt>
                <c:pt idx="308">
                  <c:v>0.15891069418504747</c:v>
                </c:pt>
                <c:pt idx="309">
                  <c:v>0.15967029067732497</c:v>
                </c:pt>
                <c:pt idx="310">
                  <c:v>0.15973905979197325</c:v>
                </c:pt>
                <c:pt idx="311">
                  <c:v>0.16185901401892144</c:v>
                </c:pt>
                <c:pt idx="312">
                  <c:v>0.16485556420762931</c:v>
                </c:pt>
                <c:pt idx="313">
                  <c:v>0.16549962678657673</c:v>
                </c:pt>
                <c:pt idx="314">
                  <c:v>0.17126561642174878</c:v>
                </c:pt>
                <c:pt idx="315">
                  <c:v>0.17130870757263078</c:v>
                </c:pt>
                <c:pt idx="316">
                  <c:v>0.1719848434671927</c:v>
                </c:pt>
                <c:pt idx="317">
                  <c:v>0.17294455568801267</c:v>
                </c:pt>
                <c:pt idx="318">
                  <c:v>0.17822666817356214</c:v>
                </c:pt>
                <c:pt idx="319">
                  <c:v>0.17836025240351011</c:v>
                </c:pt>
                <c:pt idx="320">
                  <c:v>0.17844915150102811</c:v>
                </c:pt>
                <c:pt idx="321">
                  <c:v>0.17957062187743628</c:v>
                </c:pt>
                <c:pt idx="322">
                  <c:v>0.18048532611084162</c:v>
                </c:pt>
                <c:pt idx="323">
                  <c:v>0.18062460844371869</c:v>
                </c:pt>
                <c:pt idx="324">
                  <c:v>0.1810167244513653</c:v>
                </c:pt>
                <c:pt idx="325">
                  <c:v>0.18644860582024095</c:v>
                </c:pt>
                <c:pt idx="326">
                  <c:v>0.18669138801130702</c:v>
                </c:pt>
                <c:pt idx="327">
                  <c:v>0.18678069707179387</c:v>
                </c:pt>
                <c:pt idx="328">
                  <c:v>0.18701754878087989</c:v>
                </c:pt>
                <c:pt idx="329">
                  <c:v>0.18800320751293748</c:v>
                </c:pt>
                <c:pt idx="330">
                  <c:v>0.18864682424191662</c:v>
                </c:pt>
                <c:pt idx="331">
                  <c:v>0.19023922259432868</c:v>
                </c:pt>
                <c:pt idx="332">
                  <c:v>0.20012925687206984</c:v>
                </c:pt>
                <c:pt idx="333">
                  <c:v>0.20156209355332966</c:v>
                </c:pt>
                <c:pt idx="334">
                  <c:v>0.2024375290013688</c:v>
                </c:pt>
                <c:pt idx="335">
                  <c:v>0.20719625662105634</c:v>
                </c:pt>
                <c:pt idx="336">
                  <c:v>0.20994644273493804</c:v>
                </c:pt>
                <c:pt idx="337">
                  <c:v>0.22713358740065537</c:v>
                </c:pt>
                <c:pt idx="338">
                  <c:v>0.2283016628573499</c:v>
                </c:pt>
                <c:pt idx="339">
                  <c:v>0.23135915713058428</c:v>
                </c:pt>
                <c:pt idx="340">
                  <c:v>0.23157359255284746</c:v>
                </c:pt>
                <c:pt idx="341">
                  <c:v>0.23508242459958112</c:v>
                </c:pt>
                <c:pt idx="342">
                  <c:v>0.23995677983709668</c:v>
                </c:pt>
                <c:pt idx="343">
                  <c:v>0.24072123269750684</c:v>
                </c:pt>
                <c:pt idx="344">
                  <c:v>0.24376037294671382</c:v>
                </c:pt>
                <c:pt idx="345">
                  <c:v>0.24387124989837997</c:v>
                </c:pt>
                <c:pt idx="346">
                  <c:v>0.24662288507525684</c:v>
                </c:pt>
                <c:pt idx="347">
                  <c:v>0.25099680343871095</c:v>
                </c:pt>
                <c:pt idx="348">
                  <c:v>0.2553470878066747</c:v>
                </c:pt>
                <c:pt idx="349">
                  <c:v>0.25547098316508027</c:v>
                </c:pt>
                <c:pt idx="350">
                  <c:v>0.25982498730549675</c:v>
                </c:pt>
                <c:pt idx="351">
                  <c:v>0.2599501259010909</c:v>
                </c:pt>
                <c:pt idx="352">
                  <c:v>0.26184592810105084</c:v>
                </c:pt>
                <c:pt idx="353">
                  <c:v>0.26369755801788242</c:v>
                </c:pt>
                <c:pt idx="354">
                  <c:v>0.26513737930274245</c:v>
                </c:pt>
                <c:pt idx="355">
                  <c:v>0.26525063071676969</c:v>
                </c:pt>
                <c:pt idx="356">
                  <c:v>0.27255178059019652</c:v>
                </c:pt>
                <c:pt idx="357">
                  <c:v>0.27390706974926826</c:v>
                </c:pt>
                <c:pt idx="358">
                  <c:v>0.27572058425957335</c:v>
                </c:pt>
                <c:pt idx="359">
                  <c:v>0.27957453443869962</c:v>
                </c:pt>
                <c:pt idx="360">
                  <c:v>0.28067317008142229</c:v>
                </c:pt>
                <c:pt idx="361">
                  <c:v>0.28589903427884866</c:v>
                </c:pt>
                <c:pt idx="362">
                  <c:v>0.28914153881580512</c:v>
                </c:pt>
                <c:pt idx="363">
                  <c:v>0.29103601436408993</c:v>
                </c:pt>
                <c:pt idx="364">
                  <c:v>0.29219082025820431</c:v>
                </c:pt>
                <c:pt idx="365">
                  <c:v>0.29480527175912252</c:v>
                </c:pt>
                <c:pt idx="366">
                  <c:v>0.3001644722203351</c:v>
                </c:pt>
                <c:pt idx="367">
                  <c:v>0.30276601363179717</c:v>
                </c:pt>
                <c:pt idx="368">
                  <c:v>0.30852057819814133</c:v>
                </c:pt>
                <c:pt idx="369">
                  <c:v>0.31108287287892078</c:v>
                </c:pt>
                <c:pt idx="370">
                  <c:v>0.32073398209459736</c:v>
                </c:pt>
                <c:pt idx="371">
                  <c:v>0.32384832106544603</c:v>
                </c:pt>
                <c:pt idx="372">
                  <c:v>0.32471037213876514</c:v>
                </c:pt>
                <c:pt idx="373">
                  <c:v>0.33261987019696482</c:v>
                </c:pt>
                <c:pt idx="374">
                  <c:v>0.34540624048666985</c:v>
                </c:pt>
                <c:pt idx="375">
                  <c:v>0.34595548753986738</c:v>
                </c:pt>
                <c:pt idx="376">
                  <c:v>0.34969680477267284</c:v>
                </c:pt>
                <c:pt idx="377">
                  <c:v>0.35086006656123819</c:v>
                </c:pt>
                <c:pt idx="378">
                  <c:v>0.36025750322843569</c:v>
                </c:pt>
                <c:pt idx="379">
                  <c:v>0.36134437495788896</c:v>
                </c:pt>
                <c:pt idx="380">
                  <c:v>0.36374729713494114</c:v>
                </c:pt>
                <c:pt idx="381">
                  <c:v>0.41089223219840126</c:v>
                </c:pt>
                <c:pt idx="382">
                  <c:v>0.41092775238433427</c:v>
                </c:pt>
                <c:pt idx="383">
                  <c:v>0.42525285912553012</c:v>
                </c:pt>
                <c:pt idx="384">
                  <c:v>0.44840904236601292</c:v>
                </c:pt>
                <c:pt idx="385">
                  <c:v>0.48087432185325052</c:v>
                </c:pt>
                <c:pt idx="386">
                  <c:v>0.49671851410520529</c:v>
                </c:pt>
                <c:pt idx="387">
                  <c:v>0.51322328325612931</c:v>
                </c:pt>
                <c:pt idx="388">
                  <c:v>0.51995574244379394</c:v>
                </c:pt>
                <c:pt idx="389">
                  <c:v>0.52988933162860585</c:v>
                </c:pt>
                <c:pt idx="390">
                  <c:v>0.5378532517978738</c:v>
                </c:pt>
                <c:pt idx="391">
                  <c:v>0.54132559263928792</c:v>
                </c:pt>
                <c:pt idx="392">
                  <c:v>0.57444312352763038</c:v>
                </c:pt>
                <c:pt idx="393">
                  <c:v>0.58475690372093425</c:v>
                </c:pt>
                <c:pt idx="394">
                  <c:v>0.63310490158900168</c:v>
                </c:pt>
                <c:pt idx="395">
                  <c:v>0.63794783455564952</c:v>
                </c:pt>
              </c:numCache>
            </c:numRef>
          </c:xVal>
          <c:yVal>
            <c:numRef>
              <c:f>Sheet1!$G$2:$G$1189</c:f>
              <c:numCache>
                <c:formatCode>General</c:formatCode>
                <c:ptCount val="1188"/>
                <c:pt idx="0">
                  <c:v>2.5939757967192092</c:v>
                </c:pt>
                <c:pt idx="1">
                  <c:v>2.6199784408699189</c:v>
                </c:pt>
                <c:pt idx="2">
                  <c:v>2.6369047130692045</c:v>
                </c:pt>
                <c:pt idx="3">
                  <c:v>2.6919515538556786</c:v>
                </c:pt>
                <c:pt idx="4">
                  <c:v>2.6999218463608683</c:v>
                </c:pt>
                <c:pt idx="5">
                  <c:v>2.7102144059287152</c:v>
                </c:pt>
                <c:pt idx="6">
                  <c:v>2.7412960979449057</c:v>
                </c:pt>
                <c:pt idx="7">
                  <c:v>2.7632238372416533</c:v>
                </c:pt>
                <c:pt idx="8">
                  <c:v>2.7655018239496774</c:v>
                </c:pt>
                <c:pt idx="9">
                  <c:v>2.7731623348220484</c:v>
                </c:pt>
                <c:pt idx="10">
                  <c:v>2.8070134403524478</c:v>
                </c:pt>
                <c:pt idx="11">
                  <c:v>2.8163134312324063</c:v>
                </c:pt>
                <c:pt idx="12">
                  <c:v>2.8238270236122678</c:v>
                </c:pt>
                <c:pt idx="13">
                  <c:v>2.8308537765600366</c:v>
                </c:pt>
                <c:pt idx="14">
                  <c:v>2.8506856457896737</c:v>
                </c:pt>
                <c:pt idx="15">
                  <c:v>2.8636089333486927</c:v>
                </c:pt>
                <c:pt idx="16">
                  <c:v>2.8719806274454207</c:v>
                </c:pt>
                <c:pt idx="17">
                  <c:v>2.8739043556976624</c:v>
                </c:pt>
                <c:pt idx="18">
                  <c:v>2.8743403312373936</c:v>
                </c:pt>
                <c:pt idx="19">
                  <c:v>2.8874150771915073</c:v>
                </c:pt>
                <c:pt idx="20">
                  <c:v>2.8900318840311026</c:v>
                </c:pt>
                <c:pt idx="21">
                  <c:v>2.8967413021708683</c:v>
                </c:pt>
                <c:pt idx="22">
                  <c:v>2.8982299010749553</c:v>
                </c:pt>
                <c:pt idx="23">
                  <c:v>2.9015312775611068</c:v>
                </c:pt>
                <c:pt idx="24">
                  <c:v>2.9032202053921243</c:v>
                </c:pt>
                <c:pt idx="25">
                  <c:v>2.9088912446785549</c:v>
                </c:pt>
                <c:pt idx="26">
                  <c:v>2.9093896770345236</c:v>
                </c:pt>
                <c:pt idx="27">
                  <c:v>2.9097980171908424</c:v>
                </c:pt>
                <c:pt idx="28">
                  <c:v>2.9111164082017935</c:v>
                </c:pt>
                <c:pt idx="29">
                  <c:v>2.9120697031136769</c:v>
                </c:pt>
                <c:pt idx="30">
                  <c:v>2.9139974821081758</c:v>
                </c:pt>
                <c:pt idx="31">
                  <c:v>2.9202651359221994</c:v>
                </c:pt>
                <c:pt idx="32">
                  <c:v>2.9267082263964435</c:v>
                </c:pt>
                <c:pt idx="33">
                  <c:v>2.9349575680820017</c:v>
                </c:pt>
                <c:pt idx="34">
                  <c:v>2.9438114017090604</c:v>
                </c:pt>
                <c:pt idx="35">
                  <c:v>2.9485007374753631</c:v>
                </c:pt>
                <c:pt idx="36">
                  <c:v>2.9494885713807113</c:v>
                </c:pt>
                <c:pt idx="37">
                  <c:v>2.9571827033345972</c:v>
                </c:pt>
                <c:pt idx="38">
                  <c:v>2.9621609540763312</c:v>
                </c:pt>
                <c:pt idx="39">
                  <c:v>2.9636180499475575</c:v>
                </c:pt>
                <c:pt idx="40">
                  <c:v>2.9727249622483432</c:v>
                </c:pt>
                <c:pt idx="41">
                  <c:v>2.9772613780925732</c:v>
                </c:pt>
                <c:pt idx="42">
                  <c:v>2.977603090121939</c:v>
                </c:pt>
                <c:pt idx="43">
                  <c:v>2.987327654500012</c:v>
                </c:pt>
                <c:pt idx="44">
                  <c:v>2.9959342829959508</c:v>
                </c:pt>
                <c:pt idx="45">
                  <c:v>3.0027313608809805</c:v>
                </c:pt>
                <c:pt idx="46">
                  <c:v>3.0049899403945988</c:v>
                </c:pt>
                <c:pt idx="47">
                  <c:v>3.0108154202825688</c:v>
                </c:pt>
                <c:pt idx="48">
                  <c:v>3.0111961427891796</c:v>
                </c:pt>
                <c:pt idx="49">
                  <c:v>3.0119499575082109</c:v>
                </c:pt>
                <c:pt idx="50">
                  <c:v>3.0165468691028599</c:v>
                </c:pt>
                <c:pt idx="51">
                  <c:v>3.0188717087443475</c:v>
                </c:pt>
                <c:pt idx="52">
                  <c:v>3.0196309686048473</c:v>
                </c:pt>
                <c:pt idx="53">
                  <c:v>3.0363181714602288</c:v>
                </c:pt>
                <c:pt idx="54">
                  <c:v>3.0374596053203247</c:v>
                </c:pt>
                <c:pt idx="55">
                  <c:v>3.038097083071035</c:v>
                </c:pt>
                <c:pt idx="56">
                  <c:v>3.0431099388330343</c:v>
                </c:pt>
                <c:pt idx="57">
                  <c:v>3.0531173700601602</c:v>
                </c:pt>
                <c:pt idx="58">
                  <c:v>3.0555648943164866</c:v>
                </c:pt>
                <c:pt idx="59">
                  <c:v>3.0641638691693394</c:v>
                </c:pt>
                <c:pt idx="60">
                  <c:v>3.071800653339503</c:v>
                </c:pt>
                <c:pt idx="61">
                  <c:v>3.074922639555917</c:v>
                </c:pt>
                <c:pt idx="62">
                  <c:v>3.0790838801621958</c:v>
                </c:pt>
                <c:pt idx="63">
                  <c:v>3.0846100980146778</c:v>
                </c:pt>
                <c:pt idx="64">
                  <c:v>3.0902110387016113</c:v>
                </c:pt>
                <c:pt idx="65">
                  <c:v>3.0907775937953983</c:v>
                </c:pt>
                <c:pt idx="66">
                  <c:v>3.0923884880283072</c:v>
                </c:pt>
                <c:pt idx="67">
                  <c:v>3.0977254192366948</c:v>
                </c:pt>
                <c:pt idx="68">
                  <c:v>3.0978261963935361</c:v>
                </c:pt>
                <c:pt idx="69">
                  <c:v>3.1006140715175361</c:v>
                </c:pt>
                <c:pt idx="70">
                  <c:v>3.1064556127059366</c:v>
                </c:pt>
                <c:pt idx="71">
                  <c:v>3.1116660114239174</c:v>
                </c:pt>
                <c:pt idx="72">
                  <c:v>3.1176467259382949</c:v>
                </c:pt>
                <c:pt idx="73">
                  <c:v>3.1318672149853124</c:v>
                </c:pt>
                <c:pt idx="74">
                  <c:v>3.1350791127974698</c:v>
                </c:pt>
                <c:pt idx="75">
                  <c:v>3.1399464076570252</c:v>
                </c:pt>
                <c:pt idx="76">
                  <c:v>3.1433256537438066</c:v>
                </c:pt>
                <c:pt idx="77">
                  <c:v>3.1434343664932514</c:v>
                </c:pt>
                <c:pt idx="78">
                  <c:v>3.1442284325669951</c:v>
                </c:pt>
                <c:pt idx="79">
                  <c:v>3.1519865114011778</c:v>
                </c:pt>
                <c:pt idx="80">
                  <c:v>3.1548467495934167</c:v>
                </c:pt>
                <c:pt idx="81">
                  <c:v>3.1568088800338177</c:v>
                </c:pt>
                <c:pt idx="82">
                  <c:v>3.1581684496504479</c:v>
                </c:pt>
                <c:pt idx="83">
                  <c:v>3.1587873575154122</c:v>
                </c:pt>
                <c:pt idx="84">
                  <c:v>3.1601586436928994</c:v>
                </c:pt>
                <c:pt idx="85">
                  <c:v>3.164197825713909</c:v>
                </c:pt>
                <c:pt idx="86">
                  <c:v>3.1748961833175113</c:v>
                </c:pt>
                <c:pt idx="87">
                  <c:v>3.1756809563494803</c:v>
                </c:pt>
                <c:pt idx="88">
                  <c:v>3.1761313045021038</c:v>
                </c:pt>
                <c:pt idx="89">
                  <c:v>3.1793809612198611</c:v>
                </c:pt>
                <c:pt idx="90">
                  <c:v>3.1801611028320971</c:v>
                </c:pt>
                <c:pt idx="91">
                  <c:v>3.180850159433978</c:v>
                </c:pt>
                <c:pt idx="92">
                  <c:v>3.1926733847015454</c:v>
                </c:pt>
                <c:pt idx="93">
                  <c:v>3.197067779775626</c:v>
                </c:pt>
                <c:pt idx="94">
                  <c:v>3.1986694482104054</c:v>
                </c:pt>
                <c:pt idx="95">
                  <c:v>3.1992798015410355</c:v>
                </c:pt>
                <c:pt idx="96">
                  <c:v>3.2017416634976619</c:v>
                </c:pt>
                <c:pt idx="97">
                  <c:v>3.2019095509985172</c:v>
                </c:pt>
                <c:pt idx="98">
                  <c:v>3.2098652286188374</c:v>
                </c:pt>
                <c:pt idx="99">
                  <c:v>3.2107185106520704</c:v>
                </c:pt>
                <c:pt idx="100">
                  <c:v>3.2119347254346198</c:v>
                </c:pt>
                <c:pt idx="101">
                  <c:v>3.2128177127286599</c:v>
                </c:pt>
                <c:pt idx="102">
                  <c:v>3.219496830156432</c:v>
                </c:pt>
                <c:pt idx="103">
                  <c:v>3.2201877868283568</c:v>
                </c:pt>
                <c:pt idx="104">
                  <c:v>3.2242886822852981</c:v>
                </c:pt>
                <c:pt idx="105">
                  <c:v>3.2253491201354372</c:v>
                </c:pt>
                <c:pt idx="106">
                  <c:v>3.235556692931663</c:v>
                </c:pt>
                <c:pt idx="107">
                  <c:v>3.2359049688164516</c:v>
                </c:pt>
                <c:pt idx="108">
                  <c:v>3.2387771978732265</c:v>
                </c:pt>
                <c:pt idx="109">
                  <c:v>3.2402084353805605</c:v>
                </c:pt>
                <c:pt idx="110">
                  <c:v>3.2529024167296452</c:v>
                </c:pt>
                <c:pt idx="111">
                  <c:v>3.2551189325076879</c:v>
                </c:pt>
                <c:pt idx="112">
                  <c:v>3.2611011958078819</c:v>
                </c:pt>
                <c:pt idx="113">
                  <c:v>3.2682669883759958</c:v>
                </c:pt>
                <c:pt idx="114">
                  <c:v>3.2691410040166482</c:v>
                </c:pt>
                <c:pt idx="115">
                  <c:v>3.2816376690965585</c:v>
                </c:pt>
                <c:pt idx="116">
                  <c:v>3.2850388502054439</c:v>
                </c:pt>
                <c:pt idx="117">
                  <c:v>3.2879037126013366</c:v>
                </c:pt>
                <c:pt idx="118">
                  <c:v>3.2915316814043685</c:v>
                </c:pt>
                <c:pt idx="119">
                  <c:v>3.2959351416271678</c:v>
                </c:pt>
                <c:pt idx="120">
                  <c:v>3.2989996073742982</c:v>
                </c:pt>
                <c:pt idx="121">
                  <c:v>3.3012424363248147</c:v>
                </c:pt>
                <c:pt idx="122">
                  <c:v>3.3026034964365616</c:v>
                </c:pt>
                <c:pt idx="123">
                  <c:v>3.3043944488831314</c:v>
                </c:pt>
                <c:pt idx="124">
                  <c:v>3.3067584697119652</c:v>
                </c:pt>
                <c:pt idx="125">
                  <c:v>3.3101326642081816</c:v>
                </c:pt>
                <c:pt idx="126">
                  <c:v>3.3123658544488968</c:v>
                </c:pt>
                <c:pt idx="127">
                  <c:v>3.3169336478541465</c:v>
                </c:pt>
                <c:pt idx="128">
                  <c:v>3.3173403153750929</c:v>
                </c:pt>
                <c:pt idx="129">
                  <c:v>3.3269433925152017</c:v>
                </c:pt>
                <c:pt idx="130">
                  <c:v>3.3284808762843165</c:v>
                </c:pt>
                <c:pt idx="131">
                  <c:v>3.3317976508267044</c:v>
                </c:pt>
                <c:pt idx="132">
                  <c:v>3.3333957210178875</c:v>
                </c:pt>
                <c:pt idx="133">
                  <c:v>3.3349509506629333</c:v>
                </c:pt>
                <c:pt idx="134">
                  <c:v>3.3352307421283394</c:v>
                </c:pt>
                <c:pt idx="135">
                  <c:v>3.3354671117667785</c:v>
                </c:pt>
                <c:pt idx="136">
                  <c:v>3.3413664029227923</c:v>
                </c:pt>
                <c:pt idx="137">
                  <c:v>3.3446564454587646</c:v>
                </c:pt>
                <c:pt idx="138">
                  <c:v>3.3483372197819858</c:v>
                </c:pt>
                <c:pt idx="139">
                  <c:v>3.3508857202902749</c:v>
                </c:pt>
                <c:pt idx="140">
                  <c:v>3.3516826246987779</c:v>
                </c:pt>
                <c:pt idx="141">
                  <c:v>3.3608971457088752</c:v>
                </c:pt>
                <c:pt idx="142">
                  <c:v>3.3611089418956253</c:v>
                </c:pt>
                <c:pt idx="143">
                  <c:v>3.3652416476838218</c:v>
                </c:pt>
                <c:pt idx="144">
                  <c:v>3.3667635356140178</c:v>
                </c:pt>
                <c:pt idx="145">
                  <c:v>3.3680393151932062</c:v>
                </c:pt>
                <c:pt idx="146">
                  <c:v>3.3696301440118184</c:v>
                </c:pt>
                <c:pt idx="147">
                  <c:v>3.3698353540237269</c:v>
                </c:pt>
                <c:pt idx="148">
                  <c:v>3.3701532270729415</c:v>
                </c:pt>
                <c:pt idx="149">
                  <c:v>3.3794000612585551</c:v>
                </c:pt>
                <c:pt idx="150">
                  <c:v>3.3828143027493729</c:v>
                </c:pt>
                <c:pt idx="151">
                  <c:v>3.3872172237518732</c:v>
                </c:pt>
                <c:pt idx="152">
                  <c:v>3.3939981346255559</c:v>
                </c:pt>
                <c:pt idx="153">
                  <c:v>3.3940446793064742</c:v>
                </c:pt>
                <c:pt idx="154">
                  <c:v>3.3979641648175507</c:v>
                </c:pt>
                <c:pt idx="155">
                  <c:v>3.3983171825702363</c:v>
                </c:pt>
                <c:pt idx="156">
                  <c:v>3.3994308747566175</c:v>
                </c:pt>
                <c:pt idx="157">
                  <c:v>3.4004941607407426</c:v>
                </c:pt>
                <c:pt idx="158">
                  <c:v>3.4008061343654443</c:v>
                </c:pt>
                <c:pt idx="159">
                  <c:v>3.4012768323384828</c:v>
                </c:pt>
                <c:pt idx="160">
                  <c:v>3.4029231708253262</c:v>
                </c:pt>
                <c:pt idx="161">
                  <c:v>3.4083983966454525</c:v>
                </c:pt>
                <c:pt idx="162">
                  <c:v>3.4101438853878543</c:v>
                </c:pt>
                <c:pt idx="163">
                  <c:v>3.4118965865286004</c:v>
                </c:pt>
                <c:pt idx="164">
                  <c:v>3.4142145854995301</c:v>
                </c:pt>
                <c:pt idx="165">
                  <c:v>3.4148687137741147</c:v>
                </c:pt>
                <c:pt idx="166">
                  <c:v>3.4177579485471177</c:v>
                </c:pt>
                <c:pt idx="167">
                  <c:v>3.4224298834169371</c:v>
                </c:pt>
                <c:pt idx="168">
                  <c:v>3.4253481113174007</c:v>
                </c:pt>
                <c:pt idx="169">
                  <c:v>3.4259132888898884</c:v>
                </c:pt>
                <c:pt idx="170">
                  <c:v>3.4279680028103789</c:v>
                </c:pt>
                <c:pt idx="171">
                  <c:v>3.4368427852805552</c:v>
                </c:pt>
                <c:pt idx="172">
                  <c:v>3.441427678958394</c:v>
                </c:pt>
                <c:pt idx="173">
                  <c:v>3.4433509843173336</c:v>
                </c:pt>
                <c:pt idx="174">
                  <c:v>3.4489503169852274</c:v>
                </c:pt>
                <c:pt idx="175">
                  <c:v>3.44928765584599</c:v>
                </c:pt>
                <c:pt idx="176">
                  <c:v>3.4524549738067316</c:v>
                </c:pt>
                <c:pt idx="177">
                  <c:v>3.4613620678518759</c:v>
                </c:pt>
                <c:pt idx="178">
                  <c:v>3.4650160972121777</c:v>
                </c:pt>
                <c:pt idx="179">
                  <c:v>3.4656980626216529</c:v>
                </c:pt>
                <c:pt idx="180">
                  <c:v>3.4657990429748176</c:v>
                </c:pt>
                <c:pt idx="181">
                  <c:v>3.4659737052797479</c:v>
                </c:pt>
                <c:pt idx="182">
                  <c:v>3.468209796461009</c:v>
                </c:pt>
                <c:pt idx="183">
                  <c:v>3.4686910389301437</c:v>
                </c:pt>
                <c:pt idx="184">
                  <c:v>3.469006947020846</c:v>
                </c:pt>
                <c:pt idx="185">
                  <c:v>3.4708642200229116</c:v>
                </c:pt>
                <c:pt idx="186">
                  <c:v>3.4723237720245472</c:v>
                </c:pt>
                <c:pt idx="187">
                  <c:v>3.4762344369161275</c:v>
                </c:pt>
                <c:pt idx="188">
                  <c:v>3.4798742367196436</c:v>
                </c:pt>
                <c:pt idx="189">
                  <c:v>3.4827398678692223</c:v>
                </c:pt>
                <c:pt idx="190">
                  <c:v>3.4832954258742115</c:v>
                </c:pt>
                <c:pt idx="191">
                  <c:v>3.4835862564025457</c:v>
                </c:pt>
                <c:pt idx="192">
                  <c:v>3.4850848249640167</c:v>
                </c:pt>
                <c:pt idx="193">
                  <c:v>3.4872613655118174</c:v>
                </c:pt>
                <c:pt idx="194">
                  <c:v>3.489214024902612</c:v>
                </c:pt>
                <c:pt idx="195">
                  <c:v>3.4895803120243962</c:v>
                </c:pt>
                <c:pt idx="196">
                  <c:v>3.4917052599159977</c:v>
                </c:pt>
                <c:pt idx="197">
                  <c:v>3.4925913617922038</c:v>
                </c:pt>
                <c:pt idx="198">
                  <c:v>3.4966091071471452</c:v>
                </c:pt>
                <c:pt idx="199">
                  <c:v>3.4999437387900216</c:v>
                </c:pt>
                <c:pt idx="200">
                  <c:v>3.5002647974720187</c:v>
                </c:pt>
                <c:pt idx="201">
                  <c:v>3.5011908709430091</c:v>
                </c:pt>
                <c:pt idx="202">
                  <c:v>3.5018900079283997</c:v>
                </c:pt>
                <c:pt idx="203">
                  <c:v>3.5125598755332095</c:v>
                </c:pt>
                <c:pt idx="204">
                  <c:v>3.5153133369936249</c:v>
                </c:pt>
                <c:pt idx="205">
                  <c:v>3.5177913199971051</c:v>
                </c:pt>
                <c:pt idx="206">
                  <c:v>3.5202200251692295</c:v>
                </c:pt>
                <c:pt idx="207">
                  <c:v>3.5203607913056096</c:v>
                </c:pt>
                <c:pt idx="208">
                  <c:v>3.5205010487327866</c:v>
                </c:pt>
                <c:pt idx="209">
                  <c:v>3.5210289778638253</c:v>
                </c:pt>
                <c:pt idx="210">
                  <c:v>3.5230237604973489</c:v>
                </c:pt>
                <c:pt idx="211">
                  <c:v>3.5231603481509173</c:v>
                </c:pt>
                <c:pt idx="212">
                  <c:v>3.524336115197404</c:v>
                </c:pt>
                <c:pt idx="213">
                  <c:v>3.5260614564458912</c:v>
                </c:pt>
                <c:pt idx="214">
                  <c:v>3.5268622086115635</c:v>
                </c:pt>
                <c:pt idx="215">
                  <c:v>3.52824551531147</c:v>
                </c:pt>
                <c:pt idx="216">
                  <c:v>3.52927791386981</c:v>
                </c:pt>
                <c:pt idx="217">
                  <c:v>3.5302311304203773</c:v>
                </c:pt>
                <c:pt idx="218">
                  <c:v>3.5307704256528214</c:v>
                </c:pt>
                <c:pt idx="219">
                  <c:v>3.5312209289260217</c:v>
                </c:pt>
                <c:pt idx="220">
                  <c:v>3.5320811198151159</c:v>
                </c:pt>
                <c:pt idx="221">
                  <c:v>3.5344733160680932</c:v>
                </c:pt>
                <c:pt idx="222">
                  <c:v>3.535020003657332</c:v>
                </c:pt>
                <c:pt idx="223">
                  <c:v>3.5357181839623597</c:v>
                </c:pt>
                <c:pt idx="224">
                  <c:v>3.5357015278906476</c:v>
                </c:pt>
                <c:pt idx="225">
                  <c:v>3.5354001284764585</c:v>
                </c:pt>
                <c:pt idx="226">
                  <c:v>3.5352489734217087</c:v>
                </c:pt>
                <c:pt idx="227">
                  <c:v>3.5347592065022737</c:v>
                </c:pt>
                <c:pt idx="228">
                  <c:v>3.5345135285222962</c:v>
                </c:pt>
                <c:pt idx="229">
                  <c:v>3.5339850610877175</c:v>
                </c:pt>
                <c:pt idx="230">
                  <c:v>3.5338371129656636</c:v>
                </c:pt>
                <c:pt idx="231">
                  <c:v>3.5332577391458311</c:v>
                </c:pt>
                <c:pt idx="232">
                  <c:v>3.533150053847641</c:v>
                </c:pt>
                <c:pt idx="233">
                  <c:v>3.5318731667873022</c:v>
                </c:pt>
                <c:pt idx="234">
                  <c:v>3.5315043926391869</c:v>
                </c:pt>
                <c:pt idx="235">
                  <c:v>3.52930439797754</c:v>
                </c:pt>
                <c:pt idx="236">
                  <c:v>3.5284258061742491</c:v>
                </c:pt>
                <c:pt idx="237">
                  <c:v>3.5259152297254324</c:v>
                </c:pt>
                <c:pt idx="238">
                  <c:v>3.5253718635856646</c:v>
                </c:pt>
                <c:pt idx="239">
                  <c:v>3.5200107627337927</c:v>
                </c:pt>
                <c:pt idx="240">
                  <c:v>3.5042487665289004</c:v>
                </c:pt>
                <c:pt idx="241">
                  <c:v>3.502251419218382</c:v>
                </c:pt>
                <c:pt idx="242">
                  <c:v>3.497829795808757</c:v>
                </c:pt>
                <c:pt idx="243">
                  <c:v>3.4966441754853128</c:v>
                </c:pt>
                <c:pt idx="244">
                  <c:v>3.4951932836995749</c:v>
                </c:pt>
                <c:pt idx="245">
                  <c:v>3.4939869409203355</c:v>
                </c:pt>
                <c:pt idx="246">
                  <c:v>3.4922071083229067</c:v>
                </c:pt>
                <c:pt idx="247">
                  <c:v>3.4912012287520624</c:v>
                </c:pt>
                <c:pt idx="248">
                  <c:v>3.4872213950770328</c:v>
                </c:pt>
                <c:pt idx="249">
                  <c:v>3.4820632827033631</c:v>
                </c:pt>
                <c:pt idx="250">
                  <c:v>3.4745428079963352</c:v>
                </c:pt>
                <c:pt idx="251">
                  <c:v>3.4688513890141195</c:v>
                </c:pt>
                <c:pt idx="252">
                  <c:v>3.4653937214076076</c:v>
                </c:pt>
                <c:pt idx="253">
                  <c:v>3.4642103440950236</c:v>
                </c:pt>
                <c:pt idx="254">
                  <c:v>3.450344729723346</c:v>
                </c:pt>
                <c:pt idx="255">
                  <c:v>3.4474956540834567</c:v>
                </c:pt>
                <c:pt idx="256">
                  <c:v>3.4439443465840762</c:v>
                </c:pt>
                <c:pt idx="257">
                  <c:v>3.4391227993663986</c:v>
                </c:pt>
                <c:pt idx="258">
                  <c:v>3.4352439994033341</c:v>
                </c:pt>
                <c:pt idx="259">
                  <c:v>3.4347064286995765</c:v>
                </c:pt>
                <c:pt idx="260">
                  <c:v>3.428607126104132</c:v>
                </c:pt>
                <c:pt idx="261">
                  <c:v>3.4242668183977205</c:v>
                </c:pt>
                <c:pt idx="262">
                  <c:v>3.4231079454869073</c:v>
                </c:pt>
                <c:pt idx="263">
                  <c:v>3.4230837631960895</c:v>
                </c:pt>
                <c:pt idx="264">
                  <c:v>3.4187650332963369</c:v>
                </c:pt>
                <c:pt idx="265">
                  <c:v>3.4185078510460896</c:v>
                </c:pt>
                <c:pt idx="266">
                  <c:v>3.4167506502600724</c:v>
                </c:pt>
                <c:pt idx="267">
                  <c:v>3.416586675174011</c:v>
                </c:pt>
                <c:pt idx="268">
                  <c:v>3.4045163147466515</c:v>
                </c:pt>
                <c:pt idx="269">
                  <c:v>3.3843919945199277</c:v>
                </c:pt>
                <c:pt idx="270">
                  <c:v>3.375507788817504</c:v>
                </c:pt>
                <c:pt idx="271">
                  <c:v>3.3667125897828387</c:v>
                </c:pt>
                <c:pt idx="272">
                  <c:v>3.3434216199693974</c:v>
                </c:pt>
                <c:pt idx="273">
                  <c:v>3.3433777961674549</c:v>
                </c:pt>
                <c:pt idx="274">
                  <c:v>3.3400457798309104</c:v>
                </c:pt>
                <c:pt idx="275">
                  <c:v>3.3378033300032279</c:v>
                </c:pt>
                <c:pt idx="276">
                  <c:v>3.3115142141834255</c:v>
                </c:pt>
                <c:pt idx="277">
                  <c:v>3.3068116397567224</c:v>
                </c:pt>
                <c:pt idx="278">
                  <c:v>3.28849237664227</c:v>
                </c:pt>
                <c:pt idx="279">
                  <c:v>3.2868428214934053</c:v>
                </c:pt>
                <c:pt idx="280">
                  <c:v>3.2838657788063812</c:v>
                </c:pt>
                <c:pt idx="281">
                  <c:v>3.2700282170532704</c:v>
                </c:pt>
                <c:pt idx="282">
                  <c:v>3.268145976639163</c:v>
                </c:pt>
                <c:pt idx="283">
                  <c:v>3.2668520018524783</c:v>
                </c:pt>
                <c:pt idx="284">
                  <c:v>3.2513966001106658</c:v>
                </c:pt>
                <c:pt idx="285">
                  <c:v>3.247825267152467</c:v>
                </c:pt>
                <c:pt idx="286">
                  <c:v>3.2247495769913188</c:v>
                </c:pt>
                <c:pt idx="287">
                  <c:v>3.218117916874641</c:v>
                </c:pt>
                <c:pt idx="288">
                  <c:v>3.1781533442903322</c:v>
                </c:pt>
                <c:pt idx="289">
                  <c:v>3.1506186792464073</c:v>
                </c:pt>
                <c:pt idx="290">
                  <c:v>3.1451131225711322</c:v>
                </c:pt>
                <c:pt idx="291">
                  <c:v>3.1442908427197831</c:v>
                </c:pt>
                <c:pt idx="292">
                  <c:v>3.1418298889020573</c:v>
                </c:pt>
                <c:pt idx="293">
                  <c:v>3.1381964906321165</c:v>
                </c:pt>
                <c:pt idx="294">
                  <c:v>3.1344763455292899</c:v>
                </c:pt>
                <c:pt idx="295">
                  <c:v>3.1077503993284585</c:v>
                </c:pt>
                <c:pt idx="296">
                  <c:v>3.1044094078991695</c:v>
                </c:pt>
                <c:pt idx="297">
                  <c:v>3.1019933117136489</c:v>
                </c:pt>
                <c:pt idx="298">
                  <c:v>3.08787686669063</c:v>
                </c:pt>
                <c:pt idx="299">
                  <c:v>3.0875114677764062</c:v>
                </c:pt>
                <c:pt idx="300">
                  <c:v>3.0721234872142889</c:v>
                </c:pt>
                <c:pt idx="301">
                  <c:v>3.0629021209097278</c:v>
                </c:pt>
                <c:pt idx="302">
                  <c:v>3.0628377275846761</c:v>
                </c:pt>
                <c:pt idx="303">
                  <c:v>3.0595876942992373</c:v>
                </c:pt>
                <c:pt idx="304">
                  <c:v>3.0587171946618774</c:v>
                </c:pt>
                <c:pt idx="305">
                  <c:v>3.0572606699326492</c:v>
                </c:pt>
                <c:pt idx="306">
                  <c:v>3.0336937373537838</c:v>
                </c:pt>
                <c:pt idx="307">
                  <c:v>3.0198538680810625</c:v>
                </c:pt>
                <c:pt idx="308">
                  <c:v>3.007024785358865</c:v>
                </c:pt>
                <c:pt idx="309">
                  <c:v>2.9954566522834103</c:v>
                </c:pt>
                <c:pt idx="310">
                  <c:v>2.9944048458141275</c:v>
                </c:pt>
                <c:pt idx="311">
                  <c:v>2.9616214585622123</c:v>
                </c:pt>
                <c:pt idx="312">
                  <c:v>2.9141382078482256</c:v>
                </c:pt>
                <c:pt idx="313">
                  <c:v>2.9037648041508635</c:v>
                </c:pt>
                <c:pt idx="314">
                  <c:v>2.8084464684721846</c:v>
                </c:pt>
                <c:pt idx="315">
                  <c:v>2.8077184282469125</c:v>
                </c:pt>
                <c:pt idx="316">
                  <c:v>2.7962661484449969</c:v>
                </c:pt>
                <c:pt idx="317">
                  <c:v>2.7799194465495485</c:v>
                </c:pt>
                <c:pt idx="318">
                  <c:v>2.6881619153249772</c:v>
                </c:pt>
                <c:pt idx="319">
                  <c:v>2.6858047535697129</c:v>
                </c:pt>
                <c:pt idx="320">
                  <c:v>2.6842351441646328</c:v>
                </c:pt>
                <c:pt idx="321">
                  <c:v>2.6643709267135378</c:v>
                </c:pt>
                <c:pt idx="322">
                  <c:v>2.6480842681161159</c:v>
                </c:pt>
                <c:pt idx="323">
                  <c:v>2.645597788319114</c:v>
                </c:pt>
                <c:pt idx="324">
                  <c:v>2.638588638604185</c:v>
                </c:pt>
                <c:pt idx="325">
                  <c:v>2.5402234316253254</c:v>
                </c:pt>
                <c:pt idx="326">
                  <c:v>2.53577635588212</c:v>
                </c:pt>
                <c:pt idx="327">
                  <c:v>2.5341394767034027</c:v>
                </c:pt>
                <c:pt idx="328">
                  <c:v>2.5297958378460681</c:v>
                </c:pt>
                <c:pt idx="329">
                  <c:v>2.5116807243557826</c:v>
                </c:pt>
                <c:pt idx="330">
                  <c:v>2.4998190007011316</c:v>
                </c:pt>
                <c:pt idx="331">
                  <c:v>2.4703661323278432</c:v>
                </c:pt>
                <c:pt idx="332">
                  <c:v>2.2848407515257714</c:v>
                </c:pt>
                <c:pt idx="333">
                  <c:v>2.2577045172865247</c:v>
                </c:pt>
                <c:pt idx="334">
                  <c:v>2.2411057870838298</c:v>
                </c:pt>
                <c:pt idx="335">
                  <c:v>2.1507233604235072</c:v>
                </c:pt>
                <c:pt idx="336">
                  <c:v>2.0984580210745296</c:v>
                </c:pt>
                <c:pt idx="337">
                  <c:v>1.7753528327017021</c:v>
                </c:pt>
                <c:pt idx="338">
                  <c:v>1.753815312508445</c:v>
                </c:pt>
                <c:pt idx="339">
                  <c:v>1.6978070544082755</c:v>
                </c:pt>
                <c:pt idx="340">
                  <c:v>1.6939000687583778</c:v>
                </c:pt>
                <c:pt idx="341">
                  <c:v>1.6303951005273778</c:v>
                </c:pt>
                <c:pt idx="342">
                  <c:v>1.5436283297730713</c:v>
                </c:pt>
                <c:pt idx="343">
                  <c:v>1.5301867796031294</c:v>
                </c:pt>
                <c:pt idx="344">
                  <c:v>1.4772257293068296</c:v>
                </c:pt>
                <c:pt idx="345">
                  <c:v>1.4753083627772938</c:v>
                </c:pt>
                <c:pt idx="346">
                  <c:v>1.4280722822873055</c:v>
                </c:pt>
                <c:pt idx="347">
                  <c:v>1.3544213596823504</c:v>
                </c:pt>
                <c:pt idx="348">
                  <c:v>1.2830225738578929</c:v>
                </c:pt>
                <c:pt idx="349">
                  <c:v>1.2810173477903981</c:v>
                </c:pt>
                <c:pt idx="350">
                  <c:v>1.2115757367011564</c:v>
                </c:pt>
                <c:pt idx="351">
                  <c:v>1.2096099371665359</c:v>
                </c:pt>
                <c:pt idx="352">
                  <c:v>1.1800384483614057</c:v>
                </c:pt>
                <c:pt idx="353">
                  <c:v>1.1515401117574091</c:v>
                </c:pt>
                <c:pt idx="354">
                  <c:v>1.1296461425882005</c:v>
                </c:pt>
                <c:pt idx="355">
                  <c:v>1.1279340088438115</c:v>
                </c:pt>
                <c:pt idx="356">
                  <c:v>1.0206876296871454</c:v>
                </c:pt>
                <c:pt idx="357">
                  <c:v>1.0014706732002925</c:v>
                </c:pt>
                <c:pt idx="358">
                  <c:v>0.9761008743758548</c:v>
                </c:pt>
                <c:pt idx="359">
                  <c:v>0.92350809440166637</c:v>
                </c:pt>
                <c:pt idx="360">
                  <c:v>0.90884722881648872</c:v>
                </c:pt>
                <c:pt idx="361">
                  <c:v>0.84114144986637873</c:v>
                </c:pt>
                <c:pt idx="362">
                  <c:v>0.80082798304467173</c:v>
                </c:pt>
                <c:pt idx="363">
                  <c:v>0.7778771835473941</c:v>
                </c:pt>
                <c:pt idx="364">
                  <c:v>0.76410537990973426</c:v>
                </c:pt>
                <c:pt idx="365">
                  <c:v>0.73353655268678075</c:v>
                </c:pt>
                <c:pt idx="366">
                  <c:v>0.67351331782693835</c:v>
                </c:pt>
                <c:pt idx="367">
                  <c:v>0.64564704587312927</c:v>
                </c:pt>
                <c:pt idx="368">
                  <c:v>0.58692530383358077</c:v>
                </c:pt>
                <c:pt idx="369">
                  <c:v>0.56205648715228385</c:v>
                </c:pt>
                <c:pt idx="370">
                  <c:v>0.47527694085989103</c:v>
                </c:pt>
                <c:pt idx="371">
                  <c:v>0.4495374792832092</c:v>
                </c:pt>
                <c:pt idx="372">
                  <c:v>0.44260280850456635</c:v>
                </c:pt>
                <c:pt idx="373">
                  <c:v>0.38272087546564038</c:v>
                </c:pt>
                <c:pt idx="374">
                  <c:v>0.29944028466860617</c:v>
                </c:pt>
                <c:pt idx="375">
                  <c:v>0.29621525740852644</c:v>
                </c:pt>
                <c:pt idx="376">
                  <c:v>0.27497894662030986</c:v>
                </c:pt>
                <c:pt idx="377">
                  <c:v>0.26863143536472261</c:v>
                </c:pt>
                <c:pt idx="378">
                  <c:v>0.22157804381260887</c:v>
                </c:pt>
                <c:pt idx="379">
                  <c:v>0.21660078097539637</c:v>
                </c:pt>
                <c:pt idx="380">
                  <c:v>0.20592215278239165</c:v>
                </c:pt>
                <c:pt idx="381">
                  <c:v>6.9673475213303859E-2</c:v>
                </c:pt>
                <c:pt idx="382">
                  <c:v>6.9612030088198801E-2</c:v>
                </c:pt>
                <c:pt idx="383">
                  <c:v>4.8377493284705607E-2</c:v>
                </c:pt>
                <c:pt idx="384">
                  <c:v>2.5963899250702225E-2</c:v>
                </c:pt>
                <c:pt idx="385">
                  <c:v>1.0107459459133416E-2</c:v>
                </c:pt>
                <c:pt idx="386">
                  <c:v>6.1890590576830391E-3</c:v>
                </c:pt>
                <c:pt idx="387">
                  <c:v>3.6359607626391998E-3</c:v>
                </c:pt>
                <c:pt idx="388">
                  <c:v>2.9088499550315684E-3</c:v>
                </c:pt>
                <c:pt idx="389">
                  <c:v>2.0793466274689181E-3</c:v>
                </c:pt>
                <c:pt idx="390">
                  <c:v>1.5798284178180177E-3</c:v>
                </c:pt>
                <c:pt idx="391">
                  <c:v>1.3992950773268995E-3</c:v>
                </c:pt>
                <c:pt idx="392">
                  <c:v>4.1937921872508074E-4</c:v>
                </c:pt>
                <c:pt idx="393">
                  <c:v>2.8313562583739493E-4</c:v>
                </c:pt>
                <c:pt idx="394">
                  <c:v>4.0163975054327286E-5</c:v>
                </c:pt>
                <c:pt idx="395">
                  <c:v>3.2695226367914571E-5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8922712"/>
        <c:axId val="548918792"/>
      </c:scatterChart>
      <c:valAx>
        <c:axId val="548922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918792"/>
        <c:crosses val="autoZero"/>
        <c:crossBetween val="midCat"/>
      </c:valAx>
      <c:valAx>
        <c:axId val="548918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48922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10</xdr:row>
      <xdr:rowOff>100012</xdr:rowOff>
    </xdr:from>
    <xdr:to>
      <xdr:col>12</xdr:col>
      <xdr:colOff>523875</xdr:colOff>
      <xdr:row>23</xdr:row>
      <xdr:rowOff>119062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147637</xdr:colOff>
      <xdr:row>5</xdr:row>
      <xdr:rowOff>23812</xdr:rowOff>
    </xdr:from>
    <xdr:to>
      <xdr:col>19</xdr:col>
      <xdr:colOff>604837</xdr:colOff>
      <xdr:row>18</xdr:row>
      <xdr:rowOff>42862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504825</xdr:colOff>
      <xdr:row>20</xdr:row>
      <xdr:rowOff>90487</xdr:rowOff>
    </xdr:from>
    <xdr:to>
      <xdr:col>20</xdr:col>
      <xdr:colOff>276225</xdr:colOff>
      <xdr:row>33</xdr:row>
      <xdr:rowOff>109537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7"/>
  <sheetViews>
    <sheetView topLeftCell="A13" workbookViewId="0">
      <selection activeCell="B1" sqref="B1:J1"/>
    </sheetView>
  </sheetViews>
  <sheetFormatPr defaultRowHeight="16.5" x14ac:dyDescent="0.3"/>
  <cols>
    <col min="1" max="1" width="4.5" bestFit="1" customWidth="1"/>
    <col min="2" max="2" width="14.875" bestFit="1" customWidth="1"/>
    <col min="3" max="3" width="8.125" bestFit="1" customWidth="1"/>
    <col min="4" max="4" width="15.625" bestFit="1" customWidth="1"/>
    <col min="5" max="7" width="13.625" bestFit="1" customWidth="1"/>
    <col min="8" max="8" width="10.5" bestFit="1" customWidth="1"/>
    <col min="9" max="9" width="10.375" bestFit="1" customWidth="1"/>
    <col min="10" max="10" width="13.375" bestFit="1" customWidth="1"/>
  </cols>
  <sheetData>
    <row r="1" spans="1:10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3">
      <c r="A2">
        <v>5</v>
      </c>
      <c r="B2" t="s">
        <v>9</v>
      </c>
      <c r="C2">
        <v>51008</v>
      </c>
      <c r="D2" t="s">
        <v>16</v>
      </c>
      <c r="E2" s="3">
        <v>575.96655917048395</v>
      </c>
      <c r="F2" s="3">
        <v>-52.489565876763947</v>
      </c>
      <c r="G2" s="3">
        <v>347.19898691941052</v>
      </c>
      <c r="H2">
        <v>1</v>
      </c>
      <c r="I2" t="s">
        <v>17</v>
      </c>
      <c r="J2" t="s">
        <v>18</v>
      </c>
    </row>
    <row r="3" spans="1:10" x14ac:dyDescent="0.3">
      <c r="A3">
        <v>6</v>
      </c>
      <c r="B3" t="s">
        <v>9</v>
      </c>
      <c r="C3">
        <v>51011</v>
      </c>
      <c r="D3" t="s">
        <v>19</v>
      </c>
      <c r="E3" s="3">
        <v>1296.716820104768</v>
      </c>
      <c r="F3" s="3">
        <v>-47.663002670235542</v>
      </c>
      <c r="G3" s="3">
        <v>-489.78593905772118</v>
      </c>
      <c r="H3">
        <v>1</v>
      </c>
      <c r="I3" t="s">
        <v>17</v>
      </c>
      <c r="J3" t="s">
        <v>18</v>
      </c>
    </row>
    <row r="4" spans="1:10" x14ac:dyDescent="0.3">
      <c r="A4">
        <v>7</v>
      </c>
      <c r="B4" t="s">
        <v>9</v>
      </c>
      <c r="C4">
        <v>51024</v>
      </c>
      <c r="D4" t="s">
        <v>20</v>
      </c>
      <c r="E4" s="3">
        <v>604.37338382958046</v>
      </c>
      <c r="F4" s="3">
        <v>-47.239717057152262</v>
      </c>
      <c r="G4" s="3">
        <v>-1115.1450088011879</v>
      </c>
      <c r="H4">
        <v>1</v>
      </c>
      <c r="I4" t="s">
        <v>17</v>
      </c>
      <c r="J4" t="s">
        <v>18</v>
      </c>
    </row>
    <row r="5" spans="1:10" x14ac:dyDescent="0.3">
      <c r="A5">
        <v>8</v>
      </c>
      <c r="B5" t="s">
        <v>9</v>
      </c>
      <c r="C5">
        <v>51003</v>
      </c>
      <c r="D5" t="s">
        <v>21</v>
      </c>
      <c r="E5" s="3">
        <v>-115.5743377143116</v>
      </c>
      <c r="F5" s="3">
        <v>-51.763870123153509</v>
      </c>
      <c r="G5" s="3">
        <v>-282.99005023324048</v>
      </c>
      <c r="H5">
        <v>1</v>
      </c>
      <c r="I5" t="s">
        <v>17</v>
      </c>
      <c r="J5" t="s">
        <v>18</v>
      </c>
    </row>
    <row r="6" spans="1:10" x14ac:dyDescent="0.3">
      <c r="A6">
        <v>0</v>
      </c>
      <c r="B6" t="s">
        <v>9</v>
      </c>
      <c r="C6">
        <v>501</v>
      </c>
      <c r="D6" t="s">
        <v>10</v>
      </c>
      <c r="E6" s="3">
        <v>0.13700000000000001</v>
      </c>
      <c r="F6" s="3">
        <v>7.2999999999999995E-2</v>
      </c>
      <c r="G6" s="3">
        <v>-0.214</v>
      </c>
      <c r="H6">
        <v>1</v>
      </c>
      <c r="I6" t="s">
        <v>11</v>
      </c>
    </row>
    <row r="7" spans="1:10" x14ac:dyDescent="0.3">
      <c r="A7">
        <v>1</v>
      </c>
      <c r="B7" t="s">
        <v>9</v>
      </c>
      <c r="C7">
        <v>502</v>
      </c>
      <c r="D7" t="s">
        <v>12</v>
      </c>
      <c r="E7" s="3">
        <v>172.21799999999999</v>
      </c>
      <c r="F7" s="3">
        <v>-2.5000000000000001E-2</v>
      </c>
      <c r="G7" s="3">
        <v>-175.55600000000001</v>
      </c>
      <c r="H7">
        <v>1</v>
      </c>
      <c r="I7" t="s">
        <v>11</v>
      </c>
    </row>
    <row r="8" spans="1:10" x14ac:dyDescent="0.3">
      <c r="A8">
        <v>2</v>
      </c>
      <c r="B8" t="s">
        <v>9</v>
      </c>
      <c r="C8">
        <v>503</v>
      </c>
      <c r="D8" t="s">
        <v>13</v>
      </c>
      <c r="E8" s="3">
        <v>170.846</v>
      </c>
      <c r="F8" s="3">
        <v>-0.46500000000000002</v>
      </c>
      <c r="G8" s="3">
        <v>-1.252</v>
      </c>
      <c r="H8">
        <v>1</v>
      </c>
      <c r="I8" t="s">
        <v>11</v>
      </c>
    </row>
    <row r="9" spans="1:10" x14ac:dyDescent="0.3">
      <c r="A9">
        <v>3</v>
      </c>
      <c r="B9" t="s">
        <v>9</v>
      </c>
      <c r="C9">
        <v>504</v>
      </c>
      <c r="D9" t="s">
        <v>14</v>
      </c>
      <c r="E9" s="3">
        <v>346.60300000000001</v>
      </c>
      <c r="F9" s="3">
        <v>0.155</v>
      </c>
      <c r="G9" s="3">
        <v>-0.316</v>
      </c>
      <c r="H9">
        <v>1</v>
      </c>
      <c r="I9" t="s">
        <v>11</v>
      </c>
    </row>
    <row r="10" spans="1:10" x14ac:dyDescent="0.3">
      <c r="A10">
        <v>4</v>
      </c>
      <c r="B10" t="s">
        <v>9</v>
      </c>
      <c r="C10">
        <v>505</v>
      </c>
      <c r="D10" t="s">
        <v>15</v>
      </c>
      <c r="E10" s="3">
        <v>170.08600000000001</v>
      </c>
      <c r="F10" s="3">
        <v>0.28199999999999997</v>
      </c>
      <c r="G10" s="3">
        <v>174.864</v>
      </c>
      <c r="H10">
        <v>1</v>
      </c>
      <c r="I10" t="s">
        <v>11</v>
      </c>
    </row>
    <row r="11" spans="1:10" x14ac:dyDescent="0.3">
      <c r="A11">
        <v>9</v>
      </c>
      <c r="B11" t="s">
        <v>9</v>
      </c>
      <c r="C11">
        <v>50116</v>
      </c>
      <c r="D11" t="s">
        <v>22</v>
      </c>
      <c r="E11" s="3">
        <v>1011.5842591803161</v>
      </c>
      <c r="F11" s="3">
        <v>-627.25332135774977</v>
      </c>
      <c r="G11" s="3">
        <v>-1134.9485078346299</v>
      </c>
      <c r="H11">
        <v>1</v>
      </c>
      <c r="I11" t="s">
        <v>23</v>
      </c>
      <c r="J11" t="s">
        <v>18</v>
      </c>
    </row>
    <row r="12" spans="1:10" x14ac:dyDescent="0.3">
      <c r="A12">
        <v>10</v>
      </c>
      <c r="B12" t="s">
        <v>9</v>
      </c>
      <c r="C12">
        <v>50121</v>
      </c>
      <c r="D12" t="s">
        <v>24</v>
      </c>
      <c r="E12" s="3">
        <v>635.52741971554894</v>
      </c>
      <c r="F12" s="3">
        <v>-99.531566106709874</v>
      </c>
      <c r="G12" s="3">
        <v>95.94854358520044</v>
      </c>
      <c r="H12">
        <v>1</v>
      </c>
      <c r="I12" t="s">
        <v>23</v>
      </c>
      <c r="J12" t="s">
        <v>18</v>
      </c>
    </row>
    <row r="13" spans="1:10" x14ac:dyDescent="0.3">
      <c r="A13">
        <v>11</v>
      </c>
      <c r="B13" t="s">
        <v>9</v>
      </c>
      <c r="C13">
        <v>50013</v>
      </c>
      <c r="D13" t="s">
        <v>25</v>
      </c>
      <c r="E13" s="3">
        <v>280.03997692072079</v>
      </c>
      <c r="F13" s="3">
        <v>3.5859931465249142</v>
      </c>
      <c r="G13" s="3">
        <v>200.53761898177069</v>
      </c>
      <c r="H13">
        <v>1</v>
      </c>
      <c r="I13" t="s">
        <v>23</v>
      </c>
      <c r="J13" t="s">
        <v>18</v>
      </c>
    </row>
    <row r="14" spans="1:10" x14ac:dyDescent="0.3">
      <c r="A14">
        <v>12</v>
      </c>
      <c r="B14" t="s">
        <v>9</v>
      </c>
      <c r="C14">
        <v>50034</v>
      </c>
      <c r="D14" t="s">
        <v>26</v>
      </c>
      <c r="E14" s="3">
        <v>757.59690613320936</v>
      </c>
      <c r="F14" s="3">
        <v>-96.132853137544316</v>
      </c>
      <c r="G14" s="3">
        <v>-665.98167795439804</v>
      </c>
      <c r="H14">
        <v>1</v>
      </c>
      <c r="I14" t="s">
        <v>23</v>
      </c>
      <c r="J14" t="s">
        <v>18</v>
      </c>
    </row>
    <row r="15" spans="1:10" x14ac:dyDescent="0.3">
      <c r="A15">
        <v>13</v>
      </c>
      <c r="B15" t="s">
        <v>9</v>
      </c>
      <c r="C15">
        <v>50037</v>
      </c>
      <c r="D15" t="s">
        <v>27</v>
      </c>
      <c r="E15" s="3">
        <v>33.283311828025248</v>
      </c>
      <c r="F15" s="3">
        <v>-99.562715614550257</v>
      </c>
      <c r="G15" s="3">
        <v>-390.73664905784563</v>
      </c>
      <c r="H15">
        <v>1</v>
      </c>
      <c r="I15" t="s">
        <v>23</v>
      </c>
      <c r="J15" t="s">
        <v>18</v>
      </c>
    </row>
    <row r="16" spans="1:10" x14ac:dyDescent="0.3">
      <c r="A16">
        <v>15</v>
      </c>
      <c r="B16" t="s">
        <v>9</v>
      </c>
      <c r="C16">
        <v>50004</v>
      </c>
      <c r="D16" t="s">
        <v>29</v>
      </c>
      <c r="E16" s="3">
        <v>1045.336069856706</v>
      </c>
      <c r="F16" s="3">
        <v>-514.95719004944385</v>
      </c>
      <c r="G16" s="3">
        <v>-1104.9722643471141</v>
      </c>
      <c r="H16">
        <v>1</v>
      </c>
      <c r="I16" t="s">
        <v>23</v>
      </c>
      <c r="J16" t="s">
        <v>18</v>
      </c>
    </row>
    <row r="17" spans="1:10" x14ac:dyDescent="0.3">
      <c r="A17">
        <v>14</v>
      </c>
      <c r="B17" t="s">
        <v>9</v>
      </c>
      <c r="C17">
        <v>50042</v>
      </c>
      <c r="D17" t="s">
        <v>28</v>
      </c>
      <c r="E17" s="3">
        <v>1083.1747014861519</v>
      </c>
      <c r="F17" s="3">
        <v>-97.557743946805203</v>
      </c>
      <c r="G17" s="3">
        <v>-356.88870183426792</v>
      </c>
      <c r="H17">
        <v>1</v>
      </c>
      <c r="I17" t="s">
        <v>23</v>
      </c>
      <c r="J17" t="s">
        <v>18</v>
      </c>
    </row>
    <row r="18" spans="1:10" x14ac:dyDescent="0.3">
      <c r="A18">
        <v>16</v>
      </c>
      <c r="B18" t="s">
        <v>9</v>
      </c>
      <c r="C18">
        <v>50506</v>
      </c>
      <c r="D18" t="s">
        <v>30</v>
      </c>
      <c r="E18" s="3">
        <v>1148.414993566887</v>
      </c>
      <c r="F18" s="3">
        <v>-24.40153155703878</v>
      </c>
      <c r="G18" s="3">
        <v>-461.10418382659822</v>
      </c>
      <c r="H18">
        <v>1</v>
      </c>
      <c r="I18" t="s">
        <v>23</v>
      </c>
      <c r="J18" t="s">
        <v>18</v>
      </c>
    </row>
    <row r="19" spans="1:10" x14ac:dyDescent="0.3">
      <c r="A19">
        <v>17</v>
      </c>
      <c r="B19" t="s">
        <v>9</v>
      </c>
      <c r="C19">
        <v>50507</v>
      </c>
      <c r="D19" t="s">
        <v>31</v>
      </c>
      <c r="E19" s="3">
        <v>676.16944436218739</v>
      </c>
      <c r="F19" s="3">
        <v>-29.801583196519228</v>
      </c>
      <c r="G19" s="3">
        <v>-1094.1137477370751</v>
      </c>
      <c r="H19">
        <v>1</v>
      </c>
      <c r="I19" t="s">
        <v>23</v>
      </c>
      <c r="J19" t="s">
        <v>18</v>
      </c>
    </row>
    <row r="20" spans="1:10" x14ac:dyDescent="0.3">
      <c r="A20">
        <v>18</v>
      </c>
      <c r="B20" t="s">
        <v>9</v>
      </c>
      <c r="C20">
        <v>50509</v>
      </c>
      <c r="D20" t="s">
        <v>32</v>
      </c>
      <c r="E20" s="3">
        <v>488.38009667879402</v>
      </c>
      <c r="F20" s="3">
        <v>-400.60472101519753</v>
      </c>
      <c r="G20" s="3">
        <v>439.96388864698167</v>
      </c>
      <c r="H20">
        <v>1</v>
      </c>
      <c r="I20" t="s">
        <v>23</v>
      </c>
      <c r="J20" t="s">
        <v>18</v>
      </c>
    </row>
    <row r="21" spans="1:10" x14ac:dyDescent="0.3">
      <c r="A21">
        <v>19</v>
      </c>
      <c r="B21" t="s">
        <v>9</v>
      </c>
      <c r="C21">
        <v>50057</v>
      </c>
      <c r="D21" t="s">
        <v>33</v>
      </c>
      <c r="E21" s="3">
        <v>381.70544329364498</v>
      </c>
      <c r="F21" s="3">
        <v>-99.476068887090776</v>
      </c>
      <c r="G21" s="3">
        <v>-132.22599107692389</v>
      </c>
      <c r="H21">
        <v>1</v>
      </c>
      <c r="I21" t="s">
        <v>23</v>
      </c>
      <c r="J21" t="s">
        <v>18</v>
      </c>
    </row>
    <row r="22" spans="1:10" x14ac:dyDescent="0.3">
      <c r="A22">
        <v>20</v>
      </c>
      <c r="B22" t="s">
        <v>9</v>
      </c>
      <c r="C22">
        <v>50087</v>
      </c>
      <c r="D22" t="s">
        <v>34</v>
      </c>
      <c r="E22" s="3">
        <v>1198.236604643957</v>
      </c>
      <c r="F22" s="3">
        <v>-633.25987838027129</v>
      </c>
      <c r="G22" s="3">
        <v>-974.95074512075075</v>
      </c>
      <c r="H22">
        <v>1</v>
      </c>
      <c r="I22" t="s">
        <v>23</v>
      </c>
      <c r="J22" t="s">
        <v>18</v>
      </c>
    </row>
    <row r="23" spans="1:10" x14ac:dyDescent="0.3">
      <c r="A23">
        <v>21</v>
      </c>
      <c r="B23" t="s">
        <v>9</v>
      </c>
      <c r="C23">
        <v>50092</v>
      </c>
      <c r="D23" t="s">
        <v>35</v>
      </c>
      <c r="E23" s="3">
        <v>532.30704416074934</v>
      </c>
      <c r="F23" s="3">
        <v>-96.329491737783457</v>
      </c>
      <c r="G23" s="3">
        <v>-862.41329521575142</v>
      </c>
      <c r="H23">
        <v>1</v>
      </c>
      <c r="I23" t="s">
        <v>23</v>
      </c>
      <c r="J23" t="s">
        <v>18</v>
      </c>
    </row>
    <row r="24" spans="1:10" x14ac:dyDescent="0.3">
      <c r="A24">
        <v>22</v>
      </c>
      <c r="B24" t="s">
        <v>9</v>
      </c>
      <c r="C24">
        <v>50096</v>
      </c>
      <c r="D24" t="s">
        <v>36</v>
      </c>
      <c r="E24" s="3">
        <v>424.93131542676912</v>
      </c>
      <c r="F24" s="3">
        <v>3.7690448353641628</v>
      </c>
      <c r="G24" s="3">
        <v>303.73290593483352</v>
      </c>
      <c r="H24">
        <v>1</v>
      </c>
      <c r="I24" t="s">
        <v>23</v>
      </c>
      <c r="J24" t="s">
        <v>18</v>
      </c>
    </row>
    <row r="25" spans="1:10" x14ac:dyDescent="0.3">
      <c r="A25">
        <v>28</v>
      </c>
      <c r="B25" t="s">
        <v>37</v>
      </c>
      <c r="C25">
        <v>51008</v>
      </c>
      <c r="D25" t="s">
        <v>16</v>
      </c>
      <c r="E25" s="3">
        <v>575.70433023956389</v>
      </c>
      <c r="F25" s="3">
        <v>-52.922794532756193</v>
      </c>
      <c r="G25" s="3">
        <v>347.27313993353499</v>
      </c>
      <c r="H25">
        <v>2</v>
      </c>
      <c r="I25" t="s">
        <v>17</v>
      </c>
      <c r="J25" t="s">
        <v>18</v>
      </c>
    </row>
    <row r="26" spans="1:10" x14ac:dyDescent="0.3">
      <c r="A26">
        <v>29</v>
      </c>
      <c r="B26" t="s">
        <v>37</v>
      </c>
      <c r="C26">
        <v>51011</v>
      </c>
      <c r="D26" t="s">
        <v>19</v>
      </c>
      <c r="E26" s="3">
        <v>1296.8050869113149</v>
      </c>
      <c r="F26" s="3">
        <v>-47.751764498292133</v>
      </c>
      <c r="G26" s="3">
        <v>-489.40777883895709</v>
      </c>
      <c r="H26">
        <v>2</v>
      </c>
      <c r="I26" t="s">
        <v>17</v>
      </c>
      <c r="J26" t="s">
        <v>18</v>
      </c>
    </row>
    <row r="27" spans="1:10" x14ac:dyDescent="0.3">
      <c r="A27">
        <v>30</v>
      </c>
      <c r="B27" t="s">
        <v>37</v>
      </c>
      <c r="C27">
        <v>51024</v>
      </c>
      <c r="D27" t="s">
        <v>20</v>
      </c>
      <c r="E27" s="3">
        <v>604.72103275454378</v>
      </c>
      <c r="F27" s="3">
        <v>-45.820014836728667</v>
      </c>
      <c r="G27" s="3">
        <v>-1115.0510552829969</v>
      </c>
      <c r="H27">
        <v>2</v>
      </c>
      <c r="I27" t="s">
        <v>17</v>
      </c>
      <c r="J27" t="s">
        <v>18</v>
      </c>
    </row>
    <row r="28" spans="1:10" x14ac:dyDescent="0.3">
      <c r="A28">
        <v>31</v>
      </c>
      <c r="B28" t="s">
        <v>37</v>
      </c>
      <c r="C28">
        <v>51003</v>
      </c>
      <c r="D28" t="s">
        <v>21</v>
      </c>
      <c r="E28" s="3">
        <v>-115.5748809863023</v>
      </c>
      <c r="F28" s="3">
        <v>-50.683235443478452</v>
      </c>
      <c r="G28" s="3">
        <v>-283.19937948977008</v>
      </c>
      <c r="H28">
        <v>2</v>
      </c>
      <c r="I28" t="s">
        <v>17</v>
      </c>
      <c r="J28" t="s">
        <v>18</v>
      </c>
    </row>
    <row r="29" spans="1:10" x14ac:dyDescent="0.3">
      <c r="A29">
        <v>23</v>
      </c>
      <c r="B29" t="s">
        <v>37</v>
      </c>
      <c r="C29">
        <v>501</v>
      </c>
      <c r="D29" t="s">
        <v>10</v>
      </c>
      <c r="E29" s="3">
        <v>8.5000000000000006E-2</v>
      </c>
      <c r="F29" s="3">
        <v>0.67200000000000004</v>
      </c>
      <c r="G29" s="3">
        <v>-0.309</v>
      </c>
      <c r="H29">
        <v>2</v>
      </c>
      <c r="I29" t="s">
        <v>11</v>
      </c>
    </row>
    <row r="30" spans="1:10" x14ac:dyDescent="0.3">
      <c r="A30">
        <v>24</v>
      </c>
      <c r="B30" t="s">
        <v>37</v>
      </c>
      <c r="C30">
        <v>502</v>
      </c>
      <c r="D30" t="s">
        <v>12</v>
      </c>
      <c r="E30" s="3">
        <v>172.2254300254238</v>
      </c>
      <c r="F30" s="3">
        <v>0.62479111494987394</v>
      </c>
      <c r="G30" s="3">
        <v>-175.58022314421021</v>
      </c>
      <c r="H30">
        <v>2</v>
      </c>
      <c r="I30" t="s">
        <v>11</v>
      </c>
      <c r="J30" t="s">
        <v>38</v>
      </c>
    </row>
    <row r="31" spans="1:10" x14ac:dyDescent="0.3">
      <c r="A31">
        <v>25</v>
      </c>
      <c r="B31" t="s">
        <v>37</v>
      </c>
      <c r="C31">
        <v>503</v>
      </c>
      <c r="D31" t="s">
        <v>13</v>
      </c>
      <c r="E31" s="3">
        <v>170.77699999999999</v>
      </c>
      <c r="F31" s="3">
        <v>-3.7999999999999999E-2</v>
      </c>
      <c r="G31" s="3">
        <v>-1.27</v>
      </c>
      <c r="H31">
        <v>2</v>
      </c>
      <c r="I31" t="s">
        <v>11</v>
      </c>
    </row>
    <row r="32" spans="1:10" x14ac:dyDescent="0.3">
      <c r="A32">
        <v>26</v>
      </c>
      <c r="B32" t="s">
        <v>37</v>
      </c>
      <c r="C32">
        <v>504</v>
      </c>
      <c r="D32" t="s">
        <v>14</v>
      </c>
      <c r="E32" s="3">
        <v>346.53</v>
      </c>
      <c r="F32" s="3">
        <v>0.40200000000000002</v>
      </c>
      <c r="G32" s="3">
        <v>-0.26900000000000002</v>
      </c>
      <c r="H32">
        <v>2</v>
      </c>
      <c r="I32" t="s">
        <v>11</v>
      </c>
    </row>
    <row r="33" spans="1:10" x14ac:dyDescent="0.3">
      <c r="A33">
        <v>27</v>
      </c>
      <c r="B33" t="s">
        <v>37</v>
      </c>
      <c r="C33">
        <v>505</v>
      </c>
      <c r="D33" t="s">
        <v>15</v>
      </c>
      <c r="E33" s="3">
        <v>169.94800000000001</v>
      </c>
      <c r="F33" s="3">
        <v>0.48299999999999998</v>
      </c>
      <c r="G33" s="3">
        <v>174.83199999999999</v>
      </c>
      <c r="H33">
        <v>2</v>
      </c>
      <c r="I33" t="s">
        <v>11</v>
      </c>
    </row>
    <row r="34" spans="1:10" x14ac:dyDescent="0.3">
      <c r="A34">
        <v>32</v>
      </c>
      <c r="B34" t="s">
        <v>37</v>
      </c>
      <c r="C34">
        <v>50116</v>
      </c>
      <c r="D34" t="s">
        <v>22</v>
      </c>
      <c r="E34" s="3">
        <v>1011.350610968813</v>
      </c>
      <c r="F34" s="3">
        <v>-626.22125956112268</v>
      </c>
      <c r="G34" s="3">
        <v>-1135.433351407564</v>
      </c>
      <c r="H34">
        <v>2</v>
      </c>
      <c r="I34" t="s">
        <v>23</v>
      </c>
      <c r="J34" t="s">
        <v>18</v>
      </c>
    </row>
    <row r="35" spans="1:10" x14ac:dyDescent="0.3">
      <c r="A35">
        <v>33</v>
      </c>
      <c r="B35" t="s">
        <v>37</v>
      </c>
      <c r="C35">
        <v>50121</v>
      </c>
      <c r="D35" t="s">
        <v>24</v>
      </c>
      <c r="E35" s="3">
        <v>635.32123654840598</v>
      </c>
      <c r="F35" s="3">
        <v>-99.701950737699534</v>
      </c>
      <c r="G35" s="3">
        <v>95.98691628198597</v>
      </c>
      <c r="H35">
        <v>2</v>
      </c>
      <c r="I35" t="s">
        <v>23</v>
      </c>
      <c r="J35" t="s">
        <v>18</v>
      </c>
    </row>
    <row r="36" spans="1:10" x14ac:dyDescent="0.3">
      <c r="A36">
        <v>34</v>
      </c>
      <c r="B36" t="s">
        <v>37</v>
      </c>
      <c r="C36">
        <v>50013</v>
      </c>
      <c r="D36" t="s">
        <v>25</v>
      </c>
      <c r="E36" s="3">
        <v>279.89552616508718</v>
      </c>
      <c r="F36" s="3">
        <v>3.6422105361949568</v>
      </c>
      <c r="G36" s="3">
        <v>200.56213529953581</v>
      </c>
      <c r="H36">
        <v>2</v>
      </c>
      <c r="I36" t="s">
        <v>23</v>
      </c>
      <c r="J36" t="s">
        <v>18</v>
      </c>
    </row>
    <row r="37" spans="1:10" x14ac:dyDescent="0.3">
      <c r="A37">
        <v>35</v>
      </c>
      <c r="B37" t="s">
        <v>37</v>
      </c>
      <c r="C37">
        <v>50034</v>
      </c>
      <c r="D37" t="s">
        <v>26</v>
      </c>
      <c r="E37" s="3">
        <v>757.70909916091796</v>
      </c>
      <c r="F37" s="3">
        <v>-95.446831376411623</v>
      </c>
      <c r="G37" s="3">
        <v>-665.88792796991754</v>
      </c>
      <c r="H37">
        <v>2</v>
      </c>
      <c r="I37" t="s">
        <v>23</v>
      </c>
      <c r="J37" t="s">
        <v>18</v>
      </c>
    </row>
    <row r="38" spans="1:10" x14ac:dyDescent="0.3">
      <c r="A38">
        <v>36</v>
      </c>
      <c r="B38" t="s">
        <v>37</v>
      </c>
      <c r="C38">
        <v>50037</v>
      </c>
      <c r="D38" t="s">
        <v>27</v>
      </c>
      <c r="E38" s="3">
        <v>33.278664430854427</v>
      </c>
      <c r="F38" s="3">
        <v>-98.494667848819404</v>
      </c>
      <c r="G38" s="3">
        <v>-390.94606372618631</v>
      </c>
      <c r="H38">
        <v>2</v>
      </c>
      <c r="I38" t="s">
        <v>23</v>
      </c>
      <c r="J38" t="s">
        <v>18</v>
      </c>
    </row>
    <row r="39" spans="1:10" x14ac:dyDescent="0.3">
      <c r="A39">
        <v>38</v>
      </c>
      <c r="B39" t="s">
        <v>37</v>
      </c>
      <c r="C39">
        <v>50004</v>
      </c>
      <c r="D39" t="s">
        <v>29</v>
      </c>
      <c r="E39" s="3">
        <v>1045.2040909032471</v>
      </c>
      <c r="F39" s="3">
        <v>-513.99816065518439</v>
      </c>
      <c r="G39" s="3">
        <v>-1105.29867084435</v>
      </c>
      <c r="H39">
        <v>2</v>
      </c>
      <c r="I39" t="s">
        <v>23</v>
      </c>
      <c r="J39" t="s">
        <v>18</v>
      </c>
    </row>
    <row r="40" spans="1:10" x14ac:dyDescent="0.3">
      <c r="A40">
        <v>37</v>
      </c>
      <c r="B40" t="s">
        <v>37</v>
      </c>
      <c r="C40">
        <v>50042</v>
      </c>
      <c r="D40" t="s">
        <v>28</v>
      </c>
      <c r="E40" s="3">
        <v>1083.1574660491469</v>
      </c>
      <c r="F40" s="3">
        <v>-97.600404797144833</v>
      </c>
      <c r="G40" s="3">
        <v>-356.6628939917386</v>
      </c>
      <c r="H40">
        <v>2</v>
      </c>
      <c r="I40" t="s">
        <v>23</v>
      </c>
      <c r="J40" t="s">
        <v>18</v>
      </c>
    </row>
    <row r="41" spans="1:10" x14ac:dyDescent="0.3">
      <c r="A41">
        <v>39</v>
      </c>
      <c r="B41" t="s">
        <v>37</v>
      </c>
      <c r="C41">
        <v>50506</v>
      </c>
      <c r="D41" t="s">
        <v>30</v>
      </c>
      <c r="E41" s="3">
        <v>1148.515123447715</v>
      </c>
      <c r="F41" s="3">
        <v>-24.376494151470581</v>
      </c>
      <c r="G41" s="3">
        <v>-460.75722303043182</v>
      </c>
      <c r="H41">
        <v>2</v>
      </c>
      <c r="I41" t="s">
        <v>23</v>
      </c>
      <c r="J41" t="s">
        <v>18</v>
      </c>
    </row>
    <row r="42" spans="1:10" x14ac:dyDescent="0.3">
      <c r="A42">
        <v>40</v>
      </c>
      <c r="B42" t="s">
        <v>37</v>
      </c>
      <c r="C42">
        <v>50507</v>
      </c>
      <c r="D42" t="s">
        <v>31</v>
      </c>
      <c r="E42" s="3">
        <v>676.52607087461433</v>
      </c>
      <c r="F42" s="3">
        <v>-28.481944616781131</v>
      </c>
      <c r="G42" s="3">
        <v>-1093.967777925968</v>
      </c>
      <c r="H42">
        <v>2</v>
      </c>
      <c r="I42" t="s">
        <v>23</v>
      </c>
      <c r="J42" t="s">
        <v>18</v>
      </c>
    </row>
    <row r="43" spans="1:10" x14ac:dyDescent="0.3">
      <c r="A43">
        <v>41</v>
      </c>
      <c r="B43" t="s">
        <v>37</v>
      </c>
      <c r="C43">
        <v>50509</v>
      </c>
      <c r="D43" t="s">
        <v>32</v>
      </c>
      <c r="E43" s="3">
        <v>487.72591729858891</v>
      </c>
      <c r="F43" s="3">
        <v>-401.06782961138993</v>
      </c>
      <c r="G43" s="3">
        <v>439.55374487235332</v>
      </c>
      <c r="H43">
        <v>2</v>
      </c>
      <c r="I43" t="s">
        <v>23</v>
      </c>
      <c r="J43" t="s">
        <v>18</v>
      </c>
    </row>
    <row r="44" spans="1:10" x14ac:dyDescent="0.3">
      <c r="A44">
        <v>42</v>
      </c>
      <c r="B44" t="s">
        <v>37</v>
      </c>
      <c r="C44">
        <v>50057</v>
      </c>
      <c r="D44" t="s">
        <v>33</v>
      </c>
      <c r="E44" s="3">
        <v>381.59380099024008</v>
      </c>
      <c r="F44" s="3">
        <v>-99.094833941932833</v>
      </c>
      <c r="G44" s="3">
        <v>-132.29194151525539</v>
      </c>
      <c r="H44">
        <v>2</v>
      </c>
      <c r="I44" t="s">
        <v>23</v>
      </c>
      <c r="J44" t="s">
        <v>18</v>
      </c>
    </row>
    <row r="45" spans="1:10" x14ac:dyDescent="0.3">
      <c r="A45">
        <v>43</v>
      </c>
      <c r="B45" t="s">
        <v>37</v>
      </c>
      <c r="C45">
        <v>50087</v>
      </c>
      <c r="D45" t="s">
        <v>34</v>
      </c>
      <c r="E45" s="3">
        <v>1197.930595862706</v>
      </c>
      <c r="F45" s="3">
        <v>-632.62342142235798</v>
      </c>
      <c r="G45" s="3">
        <v>-975.3665452662301</v>
      </c>
      <c r="H45">
        <v>2</v>
      </c>
      <c r="I45" t="s">
        <v>23</v>
      </c>
      <c r="J45" t="s">
        <v>18</v>
      </c>
    </row>
    <row r="46" spans="1:10" x14ac:dyDescent="0.3">
      <c r="A46">
        <v>44</v>
      </c>
      <c r="B46" t="s">
        <v>37</v>
      </c>
      <c r="C46">
        <v>50092</v>
      </c>
      <c r="D46" t="s">
        <v>35</v>
      </c>
      <c r="E46" s="3">
        <v>532.50038160162092</v>
      </c>
      <c r="F46" s="3">
        <v>-95.161699418264377</v>
      </c>
      <c r="G46" s="3">
        <v>-862.41246351009681</v>
      </c>
      <c r="H46">
        <v>2</v>
      </c>
      <c r="I46" t="s">
        <v>23</v>
      </c>
      <c r="J46" t="s">
        <v>18</v>
      </c>
    </row>
    <row r="47" spans="1:10" x14ac:dyDescent="0.3">
      <c r="A47">
        <v>45</v>
      </c>
      <c r="B47" t="s">
        <v>37</v>
      </c>
      <c r="C47">
        <v>50096</v>
      </c>
      <c r="D47" t="s">
        <v>36</v>
      </c>
      <c r="E47" s="3">
        <v>424.74430053513117</v>
      </c>
      <c r="F47" s="3">
        <v>3.5451925565958322</v>
      </c>
      <c r="G47" s="3">
        <v>303.81727503760288</v>
      </c>
      <c r="H47">
        <v>2</v>
      </c>
      <c r="I47" t="s">
        <v>23</v>
      </c>
      <c r="J47" t="s">
        <v>18</v>
      </c>
    </row>
    <row r="48" spans="1:10" x14ac:dyDescent="0.3">
      <c r="A48">
        <v>51</v>
      </c>
      <c r="B48" t="s">
        <v>39</v>
      </c>
      <c r="C48">
        <v>51008</v>
      </c>
      <c r="D48" t="s">
        <v>16</v>
      </c>
      <c r="E48" s="3">
        <v>575.55618231089613</v>
      </c>
      <c r="F48" s="3">
        <v>-53.190427441264198</v>
      </c>
      <c r="G48" s="3">
        <v>347.61007615083628</v>
      </c>
      <c r="H48">
        <v>3</v>
      </c>
      <c r="I48" t="s">
        <v>17</v>
      </c>
      <c r="J48" t="s">
        <v>18</v>
      </c>
    </row>
    <row r="49" spans="1:10" x14ac:dyDescent="0.3">
      <c r="A49">
        <v>52</v>
      </c>
      <c r="B49" t="s">
        <v>39</v>
      </c>
      <c r="C49">
        <v>51011</v>
      </c>
      <c r="D49" t="s">
        <v>19</v>
      </c>
      <c r="E49" s="3">
        <v>1296.7139424484039</v>
      </c>
      <c r="F49" s="3">
        <v>-45.873589459818902</v>
      </c>
      <c r="G49" s="3">
        <v>-489.0056955972081</v>
      </c>
      <c r="H49">
        <v>3</v>
      </c>
      <c r="I49" t="s">
        <v>17</v>
      </c>
      <c r="J49" t="s">
        <v>18</v>
      </c>
    </row>
    <row r="50" spans="1:10" x14ac:dyDescent="0.3">
      <c r="A50">
        <v>53</v>
      </c>
      <c r="B50" t="s">
        <v>39</v>
      </c>
      <c r="C50">
        <v>51024</v>
      </c>
      <c r="D50" t="s">
        <v>20</v>
      </c>
      <c r="E50" s="3">
        <v>604.67791341540897</v>
      </c>
      <c r="F50" s="3">
        <v>-44.529139067126152</v>
      </c>
      <c r="G50" s="3">
        <v>-1114.7036307127439</v>
      </c>
      <c r="H50">
        <v>3</v>
      </c>
      <c r="I50" t="s">
        <v>17</v>
      </c>
      <c r="J50" t="s">
        <v>18</v>
      </c>
    </row>
    <row r="51" spans="1:10" x14ac:dyDescent="0.3">
      <c r="A51">
        <v>54</v>
      </c>
      <c r="B51" t="s">
        <v>39</v>
      </c>
      <c r="C51">
        <v>51003</v>
      </c>
      <c r="D51" t="s">
        <v>21</v>
      </c>
      <c r="E51" s="3">
        <v>-115.6751642739808</v>
      </c>
      <c r="F51" s="3">
        <v>-51.531759195799253</v>
      </c>
      <c r="G51" s="3">
        <v>-282.91671595561297</v>
      </c>
      <c r="H51">
        <v>3</v>
      </c>
      <c r="I51" t="s">
        <v>17</v>
      </c>
      <c r="J51" t="s">
        <v>18</v>
      </c>
    </row>
    <row r="52" spans="1:10" x14ac:dyDescent="0.3">
      <c r="A52">
        <v>46</v>
      </c>
      <c r="B52" t="s">
        <v>39</v>
      </c>
      <c r="C52">
        <v>501</v>
      </c>
      <c r="D52" t="s">
        <v>10</v>
      </c>
      <c r="E52" s="3">
        <v>-0.16</v>
      </c>
      <c r="F52" s="3">
        <v>-0.27300000000000002</v>
      </c>
      <c r="G52" s="3">
        <v>3.7000000000000012E-2</v>
      </c>
      <c r="H52">
        <v>3</v>
      </c>
      <c r="I52" t="s">
        <v>11</v>
      </c>
    </row>
    <row r="53" spans="1:10" x14ac:dyDescent="0.3">
      <c r="A53">
        <v>47</v>
      </c>
      <c r="B53" t="s">
        <v>39</v>
      </c>
      <c r="C53">
        <v>502</v>
      </c>
      <c r="D53" t="s">
        <v>12</v>
      </c>
      <c r="E53" s="3">
        <v>172.02500000000001</v>
      </c>
      <c r="F53" s="3">
        <v>0.19</v>
      </c>
      <c r="G53" s="3">
        <v>-175.24600000000001</v>
      </c>
      <c r="H53">
        <v>3</v>
      </c>
      <c r="I53" t="s">
        <v>11</v>
      </c>
    </row>
    <row r="54" spans="1:10" x14ac:dyDescent="0.3">
      <c r="A54">
        <v>48</v>
      </c>
      <c r="B54" t="s">
        <v>39</v>
      </c>
      <c r="C54">
        <v>503</v>
      </c>
      <c r="D54" t="s">
        <v>13</v>
      </c>
      <c r="E54" s="3">
        <v>170.566</v>
      </c>
      <c r="F54" s="3">
        <v>-0.67099999999999993</v>
      </c>
      <c r="G54" s="3">
        <v>-0.92200000000000004</v>
      </c>
      <c r="H54">
        <v>3</v>
      </c>
      <c r="I54" t="s">
        <v>11</v>
      </c>
    </row>
    <row r="55" spans="1:10" x14ac:dyDescent="0.3">
      <c r="A55">
        <v>49</v>
      </c>
      <c r="B55" t="s">
        <v>39</v>
      </c>
      <c r="C55">
        <v>504</v>
      </c>
      <c r="D55" t="s">
        <v>14</v>
      </c>
      <c r="E55" s="3">
        <v>346.34699999999998</v>
      </c>
      <c r="F55" s="3">
        <v>7.400000000000001E-2</v>
      </c>
      <c r="G55" s="3">
        <v>0.10100000000000001</v>
      </c>
      <c r="H55">
        <v>3</v>
      </c>
      <c r="I55" t="s">
        <v>11</v>
      </c>
    </row>
    <row r="56" spans="1:10" x14ac:dyDescent="0.3">
      <c r="A56">
        <v>50</v>
      </c>
      <c r="B56" t="s">
        <v>39</v>
      </c>
      <c r="C56">
        <v>505</v>
      </c>
      <c r="D56" t="s">
        <v>15</v>
      </c>
      <c r="E56" s="3">
        <v>169.715</v>
      </c>
      <c r="F56" s="3">
        <v>-0.317</v>
      </c>
      <c r="G56" s="3">
        <v>175.22800000000001</v>
      </c>
      <c r="H56">
        <v>3</v>
      </c>
      <c r="I56" t="s">
        <v>11</v>
      </c>
    </row>
    <row r="57" spans="1:10" x14ac:dyDescent="0.3">
      <c r="A57">
        <v>55</v>
      </c>
      <c r="B57" t="s">
        <v>39</v>
      </c>
      <c r="C57">
        <v>50116</v>
      </c>
      <c r="D57" t="s">
        <v>22</v>
      </c>
      <c r="E57" s="3">
        <v>1012.341723087845</v>
      </c>
      <c r="F57" s="3">
        <v>-624.18430077077267</v>
      </c>
      <c r="G57" s="3">
        <v>-1135.6504334598301</v>
      </c>
      <c r="H57">
        <v>3</v>
      </c>
      <c r="I57" t="s">
        <v>23</v>
      </c>
      <c r="J57" t="s">
        <v>18</v>
      </c>
    </row>
    <row r="58" spans="1:10" x14ac:dyDescent="0.3">
      <c r="A58">
        <v>56</v>
      </c>
      <c r="B58" t="s">
        <v>39</v>
      </c>
      <c r="C58">
        <v>50121</v>
      </c>
      <c r="D58" t="s">
        <v>24</v>
      </c>
      <c r="E58" s="3">
        <v>635.27649958341487</v>
      </c>
      <c r="F58" s="3">
        <v>-99.604418018971856</v>
      </c>
      <c r="G58" s="3">
        <v>96.280697936386076</v>
      </c>
      <c r="H58">
        <v>3</v>
      </c>
      <c r="I58" t="s">
        <v>23</v>
      </c>
      <c r="J58" t="s">
        <v>18</v>
      </c>
    </row>
    <row r="59" spans="1:10" x14ac:dyDescent="0.3">
      <c r="A59">
        <v>57</v>
      </c>
      <c r="B59" t="s">
        <v>39</v>
      </c>
      <c r="C59">
        <v>50013</v>
      </c>
      <c r="D59" t="s">
        <v>25</v>
      </c>
      <c r="E59" s="3">
        <v>279.65896075560232</v>
      </c>
      <c r="F59" s="3">
        <v>2.9990610859415638</v>
      </c>
      <c r="G59" s="3">
        <v>200.93307419739989</v>
      </c>
      <c r="H59">
        <v>3</v>
      </c>
      <c r="I59" t="s">
        <v>23</v>
      </c>
      <c r="J59" t="s">
        <v>18</v>
      </c>
    </row>
    <row r="60" spans="1:10" x14ac:dyDescent="0.3">
      <c r="A60">
        <v>58</v>
      </c>
      <c r="B60" t="s">
        <v>39</v>
      </c>
      <c r="C60">
        <v>50034</v>
      </c>
      <c r="D60" t="s">
        <v>26</v>
      </c>
      <c r="E60" s="3">
        <v>757.71792482957153</v>
      </c>
      <c r="F60" s="3">
        <v>-94.346358299061066</v>
      </c>
      <c r="G60" s="3">
        <v>-665.57927833955102</v>
      </c>
      <c r="H60">
        <v>3</v>
      </c>
      <c r="I60" t="s">
        <v>23</v>
      </c>
      <c r="J60" t="s">
        <v>18</v>
      </c>
    </row>
    <row r="61" spans="1:10" x14ac:dyDescent="0.3">
      <c r="A61">
        <v>59</v>
      </c>
      <c r="B61" t="s">
        <v>39</v>
      </c>
      <c r="C61">
        <v>50037</v>
      </c>
      <c r="D61" t="s">
        <v>27</v>
      </c>
      <c r="E61" s="3">
        <v>33.271932954352202</v>
      </c>
      <c r="F61" s="3">
        <v>-98.96708340546337</v>
      </c>
      <c r="G61" s="3">
        <v>-390.70034764534392</v>
      </c>
      <c r="H61">
        <v>3</v>
      </c>
      <c r="I61" t="s">
        <v>23</v>
      </c>
      <c r="J61" t="s">
        <v>18</v>
      </c>
    </row>
    <row r="62" spans="1:10" x14ac:dyDescent="0.3">
      <c r="A62">
        <v>61</v>
      </c>
      <c r="B62" t="s">
        <v>39</v>
      </c>
      <c r="C62">
        <v>50004</v>
      </c>
      <c r="D62" t="s">
        <v>29</v>
      </c>
      <c r="E62" s="3">
        <v>1045.9929426628371</v>
      </c>
      <c r="F62" s="3">
        <v>-511.93222844024041</v>
      </c>
      <c r="G62" s="3">
        <v>-1105.397356211613</v>
      </c>
      <c r="H62">
        <v>3</v>
      </c>
      <c r="I62" t="s">
        <v>23</v>
      </c>
      <c r="J62" t="s">
        <v>18</v>
      </c>
    </row>
    <row r="63" spans="1:10" x14ac:dyDescent="0.3">
      <c r="A63">
        <v>60</v>
      </c>
      <c r="B63" t="s">
        <v>39</v>
      </c>
      <c r="C63">
        <v>50042</v>
      </c>
      <c r="D63" t="s">
        <v>28</v>
      </c>
      <c r="E63" s="3">
        <v>1083.144715739767</v>
      </c>
      <c r="F63" s="3">
        <v>-96.239232726555599</v>
      </c>
      <c r="G63" s="3">
        <v>-356.32983240343623</v>
      </c>
      <c r="H63">
        <v>3</v>
      </c>
      <c r="I63" t="s">
        <v>23</v>
      </c>
      <c r="J63" t="s">
        <v>18</v>
      </c>
    </row>
    <row r="64" spans="1:10" x14ac:dyDescent="0.3">
      <c r="A64">
        <v>62</v>
      </c>
      <c r="B64" t="s">
        <v>39</v>
      </c>
      <c r="C64">
        <v>50506</v>
      </c>
      <c r="D64" t="s">
        <v>30</v>
      </c>
      <c r="E64" s="3">
        <v>1148.3802951344919</v>
      </c>
      <c r="F64" s="3">
        <v>-22.791866773075821</v>
      </c>
      <c r="G64" s="3">
        <v>-460.34328068979971</v>
      </c>
      <c r="H64">
        <v>3</v>
      </c>
      <c r="I64" t="s">
        <v>23</v>
      </c>
      <c r="J64" t="s">
        <v>18</v>
      </c>
    </row>
    <row r="65" spans="1:10" x14ac:dyDescent="0.3">
      <c r="A65">
        <v>63</v>
      </c>
      <c r="B65" t="s">
        <v>39</v>
      </c>
      <c r="C65">
        <v>50507</v>
      </c>
      <c r="D65" t="s">
        <v>31</v>
      </c>
      <c r="E65" s="3">
        <v>676.45027487731875</v>
      </c>
      <c r="F65" s="3">
        <v>-27.085009002083691</v>
      </c>
      <c r="G65" s="3">
        <v>-1093.596588784874</v>
      </c>
      <c r="H65">
        <v>3</v>
      </c>
      <c r="I65" t="s">
        <v>23</v>
      </c>
      <c r="J65" t="s">
        <v>18</v>
      </c>
    </row>
    <row r="66" spans="1:10" x14ac:dyDescent="0.3">
      <c r="A66">
        <v>64</v>
      </c>
      <c r="B66" t="s">
        <v>39</v>
      </c>
      <c r="C66">
        <v>50509</v>
      </c>
      <c r="D66" t="s">
        <v>32</v>
      </c>
      <c r="E66" s="3">
        <v>488.19025174601211</v>
      </c>
      <c r="F66" s="3">
        <v>-401.58643047773302</v>
      </c>
      <c r="G66" s="3">
        <v>439.52468808024929</v>
      </c>
      <c r="H66">
        <v>3</v>
      </c>
      <c r="I66" t="s">
        <v>23</v>
      </c>
      <c r="J66" t="s">
        <v>18</v>
      </c>
    </row>
    <row r="67" spans="1:10" x14ac:dyDescent="0.3">
      <c r="A67">
        <v>65</v>
      </c>
      <c r="B67" t="s">
        <v>39</v>
      </c>
      <c r="C67">
        <v>50057</v>
      </c>
      <c r="D67" t="s">
        <v>33</v>
      </c>
      <c r="E67" s="3">
        <v>381.56676286346942</v>
      </c>
      <c r="F67" s="3">
        <v>-99.213736619322603</v>
      </c>
      <c r="G67" s="3">
        <v>-132.01830321009271</v>
      </c>
      <c r="H67">
        <v>3</v>
      </c>
      <c r="I67" t="s">
        <v>23</v>
      </c>
      <c r="J67" t="s">
        <v>18</v>
      </c>
    </row>
    <row r="68" spans="1:10" x14ac:dyDescent="0.3">
      <c r="A68">
        <v>66</v>
      </c>
      <c r="B68" t="s">
        <v>39</v>
      </c>
      <c r="C68">
        <v>50087</v>
      </c>
      <c r="D68" t="s">
        <v>34</v>
      </c>
      <c r="E68" s="3">
        <v>1198.9199233243451</v>
      </c>
      <c r="F68" s="3">
        <v>-630.41925596745068</v>
      </c>
      <c r="G68" s="3">
        <v>-975.5749468980398</v>
      </c>
      <c r="H68">
        <v>3</v>
      </c>
      <c r="I68" t="s">
        <v>23</v>
      </c>
      <c r="J68" t="s">
        <v>18</v>
      </c>
    </row>
    <row r="69" spans="1:10" x14ac:dyDescent="0.3">
      <c r="A69">
        <v>67</v>
      </c>
      <c r="B69" t="s">
        <v>39</v>
      </c>
      <c r="C69">
        <v>50092</v>
      </c>
      <c r="D69" t="s">
        <v>35</v>
      </c>
      <c r="E69" s="3">
        <v>532.52487776023918</v>
      </c>
      <c r="F69" s="3">
        <v>-94.259615770762068</v>
      </c>
      <c r="G69" s="3">
        <v>-862.12195783075776</v>
      </c>
      <c r="H69">
        <v>3</v>
      </c>
      <c r="I69" t="s">
        <v>23</v>
      </c>
      <c r="J69" t="s">
        <v>18</v>
      </c>
    </row>
    <row r="70" spans="1:10" x14ac:dyDescent="0.3">
      <c r="A70">
        <v>68</v>
      </c>
      <c r="B70" t="s">
        <v>39</v>
      </c>
      <c r="C70">
        <v>50096</v>
      </c>
      <c r="D70" t="s">
        <v>36</v>
      </c>
      <c r="E70" s="3">
        <v>424.49936566439982</v>
      </c>
      <c r="F70" s="3">
        <v>3.053491894970882</v>
      </c>
      <c r="G70" s="3">
        <v>304.19998503752629</v>
      </c>
      <c r="H70">
        <v>3</v>
      </c>
      <c r="I70" t="s">
        <v>23</v>
      </c>
      <c r="J70" t="s">
        <v>18</v>
      </c>
    </row>
    <row r="71" spans="1:10" x14ac:dyDescent="0.3">
      <c r="A71">
        <v>74</v>
      </c>
      <c r="B71" t="s">
        <v>40</v>
      </c>
      <c r="C71">
        <v>51008</v>
      </c>
      <c r="D71" t="s">
        <v>16</v>
      </c>
      <c r="E71" s="3">
        <v>575.19481628328435</v>
      </c>
      <c r="F71" s="3">
        <v>-53.407643635301902</v>
      </c>
      <c r="G71" s="3">
        <v>348.09991861863227</v>
      </c>
      <c r="H71">
        <v>4</v>
      </c>
      <c r="I71" t="s">
        <v>17</v>
      </c>
      <c r="J71" t="s">
        <v>18</v>
      </c>
    </row>
    <row r="72" spans="1:10" x14ac:dyDescent="0.3">
      <c r="A72">
        <v>75</v>
      </c>
      <c r="B72" t="s">
        <v>40</v>
      </c>
      <c r="C72">
        <v>51011</v>
      </c>
      <c r="D72" t="s">
        <v>19</v>
      </c>
      <c r="E72" s="3">
        <v>1296.2456622301199</v>
      </c>
      <c r="F72" s="3">
        <v>-48.698225882399107</v>
      </c>
      <c r="G72" s="3">
        <v>-488.62673902169331</v>
      </c>
      <c r="H72">
        <v>4</v>
      </c>
      <c r="I72" t="s">
        <v>17</v>
      </c>
      <c r="J72" t="s">
        <v>18</v>
      </c>
    </row>
    <row r="73" spans="1:10" x14ac:dyDescent="0.3">
      <c r="A73">
        <v>76</v>
      </c>
      <c r="B73" t="s">
        <v>40</v>
      </c>
      <c r="C73">
        <v>51024</v>
      </c>
      <c r="D73" t="s">
        <v>20</v>
      </c>
      <c r="E73" s="3">
        <v>604.12467460910602</v>
      </c>
      <c r="F73" s="3">
        <v>-47.34339516424469</v>
      </c>
      <c r="G73" s="3">
        <v>-1114.230672803041</v>
      </c>
      <c r="H73">
        <v>4</v>
      </c>
      <c r="I73" t="s">
        <v>17</v>
      </c>
      <c r="J73" t="s">
        <v>18</v>
      </c>
    </row>
    <row r="74" spans="1:10" x14ac:dyDescent="0.3">
      <c r="A74">
        <v>77</v>
      </c>
      <c r="B74" t="s">
        <v>40</v>
      </c>
      <c r="C74">
        <v>51003</v>
      </c>
      <c r="D74" t="s">
        <v>21</v>
      </c>
      <c r="E74" s="3">
        <v>-116.1216687480007</v>
      </c>
      <c r="F74" s="3">
        <v>-51.748299814934221</v>
      </c>
      <c r="G74" s="3">
        <v>-282.3335238223716</v>
      </c>
      <c r="H74">
        <v>4</v>
      </c>
      <c r="I74" t="s">
        <v>17</v>
      </c>
      <c r="J74" t="s">
        <v>18</v>
      </c>
    </row>
    <row r="75" spans="1:10" x14ac:dyDescent="0.3">
      <c r="A75">
        <v>69</v>
      </c>
      <c r="B75" t="s">
        <v>40</v>
      </c>
      <c r="C75">
        <v>501</v>
      </c>
      <c r="D75" t="s">
        <v>10</v>
      </c>
      <c r="E75" s="3">
        <v>-0.48299999999999998</v>
      </c>
      <c r="F75" s="3">
        <v>-0.16200000000000001</v>
      </c>
      <c r="G75" s="3">
        <v>0.51300000000000001</v>
      </c>
      <c r="H75">
        <v>4</v>
      </c>
      <c r="I75" t="s">
        <v>11</v>
      </c>
    </row>
    <row r="76" spans="1:10" x14ac:dyDescent="0.3">
      <c r="A76">
        <v>70</v>
      </c>
      <c r="B76" t="s">
        <v>40</v>
      </c>
      <c r="C76">
        <v>502</v>
      </c>
      <c r="D76" t="s">
        <v>12</v>
      </c>
      <c r="E76" s="3">
        <v>171.67699999999999</v>
      </c>
      <c r="F76" s="3">
        <v>-0.318</v>
      </c>
      <c r="G76" s="3">
        <v>-174.77799999999999</v>
      </c>
      <c r="H76">
        <v>4</v>
      </c>
      <c r="I76" t="s">
        <v>11</v>
      </c>
    </row>
    <row r="77" spans="1:10" x14ac:dyDescent="0.3">
      <c r="A77">
        <v>71</v>
      </c>
      <c r="B77" t="s">
        <v>40</v>
      </c>
      <c r="C77">
        <v>503</v>
      </c>
      <c r="D77" t="s">
        <v>13</v>
      </c>
      <c r="E77" s="3">
        <v>170.24299999999999</v>
      </c>
      <c r="F77" s="3">
        <v>-0.84499999999999997</v>
      </c>
      <c r="G77" s="3">
        <v>-0.46500000000000002</v>
      </c>
      <c r="H77">
        <v>4</v>
      </c>
      <c r="I77" t="s">
        <v>11</v>
      </c>
    </row>
    <row r="78" spans="1:10" x14ac:dyDescent="0.3">
      <c r="A78">
        <v>72</v>
      </c>
      <c r="B78" t="s">
        <v>40</v>
      </c>
      <c r="C78">
        <v>504</v>
      </c>
      <c r="D78" t="s">
        <v>14</v>
      </c>
      <c r="E78" s="3">
        <v>346.01499999999999</v>
      </c>
      <c r="F78" s="3">
        <v>-0.36699999999999999</v>
      </c>
      <c r="G78" s="3">
        <v>0.52700000000000002</v>
      </c>
      <c r="H78">
        <v>4</v>
      </c>
      <c r="I78" t="s">
        <v>11</v>
      </c>
    </row>
    <row r="79" spans="1:10" x14ac:dyDescent="0.3">
      <c r="A79">
        <v>73</v>
      </c>
      <c r="B79" t="s">
        <v>40</v>
      </c>
      <c r="C79">
        <v>505</v>
      </c>
      <c r="D79" t="s">
        <v>15</v>
      </c>
      <c r="E79" s="3">
        <v>169.41399999999999</v>
      </c>
      <c r="F79" s="3">
        <v>-0.21</v>
      </c>
      <c r="G79" s="3">
        <v>175.66900000000001</v>
      </c>
      <c r="H79">
        <v>4</v>
      </c>
      <c r="I79" t="s">
        <v>11</v>
      </c>
    </row>
    <row r="80" spans="1:10" x14ac:dyDescent="0.3">
      <c r="A80">
        <v>78</v>
      </c>
      <c r="B80" t="s">
        <v>40</v>
      </c>
      <c r="C80">
        <v>50116</v>
      </c>
      <c r="D80" t="s">
        <v>22</v>
      </c>
      <c r="E80" s="3">
        <v>1010.8623135237081</v>
      </c>
      <c r="F80" s="3">
        <v>-627.68250219648803</v>
      </c>
      <c r="G80" s="3">
        <v>-1134.222438378973</v>
      </c>
      <c r="H80">
        <v>4</v>
      </c>
      <c r="I80" t="s">
        <v>23</v>
      </c>
      <c r="J80" t="s">
        <v>18</v>
      </c>
    </row>
    <row r="81" spans="1:10" x14ac:dyDescent="0.3">
      <c r="A81">
        <v>79</v>
      </c>
      <c r="B81" t="s">
        <v>40</v>
      </c>
      <c r="C81">
        <v>50121</v>
      </c>
      <c r="D81" t="s">
        <v>24</v>
      </c>
      <c r="E81" s="3">
        <v>634.80583413316481</v>
      </c>
      <c r="F81" s="3">
        <v>-100.3549663427559</v>
      </c>
      <c r="G81" s="3">
        <v>96.843661757945455</v>
      </c>
      <c r="H81">
        <v>4</v>
      </c>
      <c r="I81" t="s">
        <v>23</v>
      </c>
      <c r="J81" t="s">
        <v>18</v>
      </c>
    </row>
    <row r="82" spans="1:10" x14ac:dyDescent="0.3">
      <c r="A82">
        <v>80</v>
      </c>
      <c r="B82" t="s">
        <v>40</v>
      </c>
      <c r="C82">
        <v>50013</v>
      </c>
      <c r="D82" t="s">
        <v>25</v>
      </c>
      <c r="E82" s="3">
        <v>279.36679096816562</v>
      </c>
      <c r="F82" s="3">
        <v>2.9969317120569139</v>
      </c>
      <c r="G82" s="3">
        <v>201.3659056387456</v>
      </c>
      <c r="H82">
        <v>4</v>
      </c>
      <c r="I82" t="s">
        <v>23</v>
      </c>
      <c r="J82" t="s">
        <v>18</v>
      </c>
    </row>
    <row r="83" spans="1:10" x14ac:dyDescent="0.3">
      <c r="A83">
        <v>81</v>
      </c>
      <c r="B83" t="s">
        <v>40</v>
      </c>
      <c r="C83">
        <v>50034</v>
      </c>
      <c r="D83" t="s">
        <v>26</v>
      </c>
      <c r="E83" s="3">
        <v>757.14834421082082</v>
      </c>
      <c r="F83" s="3">
        <v>-96.620735610085461</v>
      </c>
      <c r="G83" s="3">
        <v>-665.04119765864243</v>
      </c>
      <c r="H83">
        <v>4</v>
      </c>
      <c r="I83" t="s">
        <v>23</v>
      </c>
      <c r="J83" t="s">
        <v>18</v>
      </c>
    </row>
    <row r="84" spans="1:10" x14ac:dyDescent="0.3">
      <c r="A84">
        <v>82</v>
      </c>
      <c r="B84" t="s">
        <v>40</v>
      </c>
      <c r="C84">
        <v>50037</v>
      </c>
      <c r="D84" t="s">
        <v>27</v>
      </c>
      <c r="E84" s="3">
        <v>32.734573994235276</v>
      </c>
      <c r="F84" s="3">
        <v>-99.608626861092304</v>
      </c>
      <c r="G84" s="3">
        <v>-390.05477106519419</v>
      </c>
      <c r="H84">
        <v>4</v>
      </c>
      <c r="I84" t="s">
        <v>23</v>
      </c>
      <c r="J84" t="s">
        <v>18</v>
      </c>
    </row>
    <row r="85" spans="1:10" x14ac:dyDescent="0.3">
      <c r="A85">
        <v>84</v>
      </c>
      <c r="B85" t="s">
        <v>40</v>
      </c>
      <c r="C85">
        <v>50004</v>
      </c>
      <c r="D85" t="s">
        <v>29</v>
      </c>
      <c r="E85" s="3">
        <v>1044.696428891205</v>
      </c>
      <c r="F85" s="3">
        <v>-515.4315484663166</v>
      </c>
      <c r="G85" s="3">
        <v>-1104.1698673020121</v>
      </c>
      <c r="H85">
        <v>4</v>
      </c>
      <c r="I85" t="s">
        <v>23</v>
      </c>
      <c r="J85" t="s">
        <v>18</v>
      </c>
    </row>
    <row r="86" spans="1:10" x14ac:dyDescent="0.3">
      <c r="A86">
        <v>83</v>
      </c>
      <c r="B86" t="s">
        <v>40</v>
      </c>
      <c r="C86">
        <v>50042</v>
      </c>
      <c r="D86" t="s">
        <v>28</v>
      </c>
      <c r="E86" s="3">
        <v>1082.6151915109399</v>
      </c>
      <c r="F86" s="3">
        <v>-98.492292834349144</v>
      </c>
      <c r="G86" s="3">
        <v>-355.83377923279471</v>
      </c>
      <c r="H86">
        <v>4</v>
      </c>
      <c r="I86" t="s">
        <v>23</v>
      </c>
      <c r="J86" t="s">
        <v>18</v>
      </c>
    </row>
    <row r="87" spans="1:10" x14ac:dyDescent="0.3">
      <c r="A87">
        <v>85</v>
      </c>
      <c r="B87" t="s">
        <v>40</v>
      </c>
      <c r="C87">
        <v>50506</v>
      </c>
      <c r="D87" t="s">
        <v>30</v>
      </c>
      <c r="E87" s="3">
        <v>1147.952976542583</v>
      </c>
      <c r="F87" s="3">
        <v>-25.330416903287151</v>
      </c>
      <c r="G87" s="3">
        <v>-459.98418761555928</v>
      </c>
      <c r="H87">
        <v>4</v>
      </c>
      <c r="I87" t="s">
        <v>23</v>
      </c>
      <c r="J87" t="s">
        <v>18</v>
      </c>
    </row>
    <row r="88" spans="1:10" x14ac:dyDescent="0.3">
      <c r="A88">
        <v>86</v>
      </c>
      <c r="B88" t="s">
        <v>40</v>
      </c>
      <c r="C88">
        <v>50507</v>
      </c>
      <c r="D88" t="s">
        <v>31</v>
      </c>
      <c r="E88" s="3">
        <v>675.92768024908787</v>
      </c>
      <c r="F88" s="3">
        <v>-29.976763498798999</v>
      </c>
      <c r="G88" s="3">
        <v>-1093.1639870610579</v>
      </c>
      <c r="H88">
        <v>4</v>
      </c>
      <c r="I88" t="s">
        <v>23</v>
      </c>
      <c r="J88" t="s">
        <v>18</v>
      </c>
    </row>
    <row r="89" spans="1:10" x14ac:dyDescent="0.3">
      <c r="A89">
        <v>87</v>
      </c>
      <c r="B89" t="s">
        <v>40</v>
      </c>
      <c r="C89">
        <v>50509</v>
      </c>
      <c r="D89" t="s">
        <v>32</v>
      </c>
      <c r="E89" s="3">
        <v>487.28733920970939</v>
      </c>
      <c r="F89" s="3">
        <v>-401.50326059347458</v>
      </c>
      <c r="G89" s="3">
        <v>440.63420183549181</v>
      </c>
      <c r="H89">
        <v>4</v>
      </c>
      <c r="I89" t="s">
        <v>23</v>
      </c>
      <c r="J89" t="s">
        <v>18</v>
      </c>
    </row>
    <row r="90" spans="1:10" x14ac:dyDescent="0.3">
      <c r="A90">
        <v>88</v>
      </c>
      <c r="B90" t="s">
        <v>40</v>
      </c>
      <c r="C90">
        <v>50057</v>
      </c>
      <c r="D90" t="s">
        <v>33</v>
      </c>
      <c r="E90" s="3">
        <v>381.06494105812021</v>
      </c>
      <c r="F90" s="3">
        <v>-99.958577333233265</v>
      </c>
      <c r="G90" s="3">
        <v>-131.42070059450751</v>
      </c>
      <c r="H90">
        <v>4</v>
      </c>
      <c r="I90" t="s">
        <v>23</v>
      </c>
      <c r="J90" t="s">
        <v>18</v>
      </c>
    </row>
    <row r="91" spans="1:10" x14ac:dyDescent="0.3">
      <c r="A91">
        <v>89</v>
      </c>
      <c r="B91" t="s">
        <v>40</v>
      </c>
      <c r="C91">
        <v>50087</v>
      </c>
      <c r="D91" t="s">
        <v>34</v>
      </c>
      <c r="E91" s="3">
        <v>1197.452859589662</v>
      </c>
      <c r="F91" s="3">
        <v>-633.93527069944776</v>
      </c>
      <c r="G91" s="3">
        <v>-974.16203767771412</v>
      </c>
      <c r="H91">
        <v>4</v>
      </c>
      <c r="I91" t="s">
        <v>23</v>
      </c>
      <c r="J91" t="s">
        <v>18</v>
      </c>
    </row>
    <row r="92" spans="1:10" x14ac:dyDescent="0.3">
      <c r="A92">
        <v>90</v>
      </c>
      <c r="B92" t="s">
        <v>40</v>
      </c>
      <c r="C92">
        <v>50092</v>
      </c>
      <c r="D92" t="s">
        <v>35</v>
      </c>
      <c r="E92" s="3">
        <v>531.92808596563009</v>
      </c>
      <c r="F92" s="3">
        <v>-96.518293680570153</v>
      </c>
      <c r="G92" s="3">
        <v>-861.55268743936892</v>
      </c>
      <c r="H92">
        <v>4</v>
      </c>
      <c r="I92" t="s">
        <v>23</v>
      </c>
      <c r="J92" t="s">
        <v>18</v>
      </c>
    </row>
    <row r="93" spans="1:10" x14ac:dyDescent="0.3">
      <c r="A93">
        <v>91</v>
      </c>
      <c r="B93" t="s">
        <v>40</v>
      </c>
      <c r="C93">
        <v>50096</v>
      </c>
      <c r="D93" t="s">
        <v>36</v>
      </c>
      <c r="E93" s="3">
        <v>424.22161842865228</v>
      </c>
      <c r="F93" s="3">
        <v>3.000891929769566</v>
      </c>
      <c r="G93" s="3">
        <v>304.61259893702669</v>
      </c>
      <c r="H93">
        <v>4</v>
      </c>
      <c r="I93" t="s">
        <v>23</v>
      </c>
      <c r="J93" t="s">
        <v>18</v>
      </c>
    </row>
    <row r="94" spans="1:10" x14ac:dyDescent="0.3">
      <c r="A94">
        <v>92</v>
      </c>
      <c r="B94" t="s">
        <v>41</v>
      </c>
      <c r="C94">
        <v>1008</v>
      </c>
      <c r="D94" t="s">
        <v>42</v>
      </c>
      <c r="E94" s="3">
        <v>575.51379999999995</v>
      </c>
      <c r="F94" s="3">
        <v>-53.621099999999998</v>
      </c>
      <c r="G94" s="3">
        <v>347.23570000000001</v>
      </c>
      <c r="H94">
        <v>5</v>
      </c>
      <c r="I94" t="s">
        <v>17</v>
      </c>
    </row>
    <row r="95" spans="1:10" x14ac:dyDescent="0.3">
      <c r="A95">
        <v>93</v>
      </c>
      <c r="B95" t="s">
        <v>41</v>
      </c>
      <c r="C95">
        <v>1011</v>
      </c>
      <c r="D95" t="s">
        <v>43</v>
      </c>
      <c r="E95" s="3">
        <v>1296.9179999999999</v>
      </c>
      <c r="F95" s="3">
        <v>-45.9604</v>
      </c>
      <c r="G95" s="3">
        <v>-489.16449999999998</v>
      </c>
      <c r="H95">
        <v>5</v>
      </c>
      <c r="I95" t="s">
        <v>17</v>
      </c>
    </row>
    <row r="96" spans="1:10" x14ac:dyDescent="0.3">
      <c r="A96">
        <v>94</v>
      </c>
      <c r="B96" t="s">
        <v>41</v>
      </c>
      <c r="C96">
        <v>1024</v>
      </c>
      <c r="D96" t="s">
        <v>44</v>
      </c>
      <c r="E96" s="3">
        <v>605.06370000000004</v>
      </c>
      <c r="F96" s="3">
        <v>-43.479500000000002</v>
      </c>
      <c r="G96" s="3">
        <v>-1115.0599</v>
      </c>
      <c r="H96">
        <v>5</v>
      </c>
      <c r="I96" t="s">
        <v>17</v>
      </c>
    </row>
    <row r="97" spans="1:9" x14ac:dyDescent="0.3">
      <c r="A97">
        <v>95</v>
      </c>
      <c r="B97" t="s">
        <v>41</v>
      </c>
      <c r="C97">
        <v>1003</v>
      </c>
      <c r="D97" t="s">
        <v>45</v>
      </c>
      <c r="E97" s="3">
        <v>-115.5342</v>
      </c>
      <c r="F97" s="3">
        <v>-50.821599999999997</v>
      </c>
      <c r="G97" s="3">
        <v>-283.488</v>
      </c>
      <c r="H97">
        <v>5</v>
      </c>
      <c r="I97" t="s">
        <v>17</v>
      </c>
    </row>
    <row r="98" spans="1:9" x14ac:dyDescent="0.3">
      <c r="A98">
        <v>96</v>
      </c>
      <c r="B98" t="s">
        <v>41</v>
      </c>
      <c r="C98">
        <v>501</v>
      </c>
      <c r="D98" t="s">
        <v>10</v>
      </c>
      <c r="E98" s="3">
        <v>-4.2999999999999997E-2</v>
      </c>
      <c r="F98" s="3">
        <v>5.2400000000000002E-2</v>
      </c>
      <c r="G98" s="3">
        <v>-0.4531</v>
      </c>
      <c r="H98">
        <v>5</v>
      </c>
      <c r="I98" t="s">
        <v>11</v>
      </c>
    </row>
    <row r="99" spans="1:9" x14ac:dyDescent="0.3">
      <c r="A99">
        <v>97</v>
      </c>
      <c r="B99" t="s">
        <v>41</v>
      </c>
      <c r="C99">
        <v>502</v>
      </c>
      <c r="D99" t="s">
        <v>12</v>
      </c>
      <c r="E99" s="3">
        <v>172.16810000000001</v>
      </c>
      <c r="F99" s="3">
        <v>0.58689999999999998</v>
      </c>
      <c r="G99" s="3">
        <v>-175.65469999999999</v>
      </c>
      <c r="H99">
        <v>5</v>
      </c>
      <c r="I99" t="s">
        <v>11</v>
      </c>
    </row>
    <row r="100" spans="1:9" x14ac:dyDescent="0.3">
      <c r="A100">
        <v>98</v>
      </c>
      <c r="B100" t="s">
        <v>41</v>
      </c>
      <c r="C100">
        <v>503</v>
      </c>
      <c r="D100" t="s">
        <v>13</v>
      </c>
      <c r="E100" s="3">
        <v>170.66560000000001</v>
      </c>
      <c r="F100" s="3">
        <v>-0.43719999999999998</v>
      </c>
      <c r="G100" s="3">
        <v>-1.3547</v>
      </c>
      <c r="H100">
        <v>5</v>
      </c>
      <c r="I100" t="s">
        <v>11</v>
      </c>
    </row>
    <row r="101" spans="1:9" x14ac:dyDescent="0.3">
      <c r="A101">
        <v>99</v>
      </c>
      <c r="B101" t="s">
        <v>41</v>
      </c>
      <c r="C101">
        <v>504</v>
      </c>
      <c r="D101" t="s">
        <v>14</v>
      </c>
      <c r="E101" s="3">
        <v>346.41950000000003</v>
      </c>
      <c r="F101" s="3">
        <v>0.1522</v>
      </c>
      <c r="G101" s="3">
        <v>-0.28349999999999997</v>
      </c>
      <c r="H101">
        <v>5</v>
      </c>
      <c r="I101" t="s">
        <v>11</v>
      </c>
    </row>
    <row r="102" spans="1:9" x14ac:dyDescent="0.3">
      <c r="A102">
        <v>100</v>
      </c>
      <c r="B102" t="s">
        <v>41</v>
      </c>
      <c r="C102">
        <v>505</v>
      </c>
      <c r="D102" t="s">
        <v>15</v>
      </c>
      <c r="E102" s="3">
        <v>169.76240000000001</v>
      </c>
      <c r="F102" s="3">
        <v>-0.27800000000000002</v>
      </c>
      <c r="G102" s="3">
        <v>174.76390000000001</v>
      </c>
      <c r="H102">
        <v>5</v>
      </c>
      <c r="I102" t="s">
        <v>11</v>
      </c>
    </row>
    <row r="103" spans="1:9" x14ac:dyDescent="0.3">
      <c r="A103">
        <v>101</v>
      </c>
      <c r="B103" t="s">
        <v>41</v>
      </c>
      <c r="C103">
        <v>116</v>
      </c>
      <c r="D103" t="s">
        <v>46</v>
      </c>
      <c r="E103" s="3">
        <v>1012.3197</v>
      </c>
      <c r="F103" s="3">
        <v>-623.40380000000005</v>
      </c>
      <c r="G103" s="3">
        <v>-1136.4845</v>
      </c>
      <c r="H103">
        <v>5</v>
      </c>
      <c r="I103" t="s">
        <v>23</v>
      </c>
    </row>
    <row r="104" spans="1:9" x14ac:dyDescent="0.3">
      <c r="A104">
        <v>102</v>
      </c>
      <c r="B104" t="s">
        <v>41</v>
      </c>
      <c r="C104">
        <v>121</v>
      </c>
      <c r="D104" t="s">
        <v>47</v>
      </c>
      <c r="E104" s="3">
        <v>635.27350000000001</v>
      </c>
      <c r="F104" s="3">
        <v>-99.819699999999997</v>
      </c>
      <c r="G104" s="3">
        <v>95.876000000000005</v>
      </c>
      <c r="H104">
        <v>5</v>
      </c>
      <c r="I104" t="s">
        <v>23</v>
      </c>
    </row>
    <row r="105" spans="1:9" x14ac:dyDescent="0.3">
      <c r="A105">
        <v>103</v>
      </c>
      <c r="B105" t="s">
        <v>41</v>
      </c>
      <c r="C105">
        <v>13</v>
      </c>
      <c r="D105" t="s">
        <v>48</v>
      </c>
      <c r="E105" s="3">
        <v>279.69909999999999</v>
      </c>
      <c r="F105" s="3">
        <v>2.9302000000000001</v>
      </c>
      <c r="G105" s="3">
        <v>200.53129999999999</v>
      </c>
      <c r="H105">
        <v>5</v>
      </c>
      <c r="I105" t="s">
        <v>23</v>
      </c>
    </row>
    <row r="106" spans="1:9" x14ac:dyDescent="0.3">
      <c r="A106">
        <v>104</v>
      </c>
      <c r="B106" t="s">
        <v>41</v>
      </c>
      <c r="C106">
        <v>34</v>
      </c>
      <c r="D106" t="s">
        <v>49</v>
      </c>
      <c r="E106" s="3">
        <v>757.93849999999998</v>
      </c>
      <c r="F106" s="3">
        <v>-93.867000000000004</v>
      </c>
      <c r="G106" s="3">
        <v>-665.94290000000001</v>
      </c>
      <c r="H106">
        <v>5</v>
      </c>
      <c r="I106" t="s">
        <v>23</v>
      </c>
    </row>
    <row r="107" spans="1:9" x14ac:dyDescent="0.3">
      <c r="A107">
        <v>105</v>
      </c>
      <c r="B107" t="s">
        <v>41</v>
      </c>
      <c r="C107">
        <v>37</v>
      </c>
      <c r="D107" t="s">
        <v>50</v>
      </c>
      <c r="E107" s="3">
        <v>33.4101</v>
      </c>
      <c r="F107" s="3">
        <v>-98.252600000000001</v>
      </c>
      <c r="G107" s="3">
        <v>-391.2774</v>
      </c>
      <c r="H107">
        <v>5</v>
      </c>
      <c r="I107" t="s">
        <v>23</v>
      </c>
    </row>
    <row r="108" spans="1:9" x14ac:dyDescent="0.3">
      <c r="A108">
        <v>106</v>
      </c>
      <c r="B108" t="s">
        <v>41</v>
      </c>
      <c r="C108">
        <v>4</v>
      </c>
      <c r="D108" t="s">
        <v>51</v>
      </c>
      <c r="E108" s="3">
        <v>1046.0423000000001</v>
      </c>
      <c r="F108" s="3">
        <v>-511.20690000000002</v>
      </c>
      <c r="G108" s="3">
        <v>-1106.1065000000001</v>
      </c>
      <c r="H108">
        <v>5</v>
      </c>
      <c r="I108" t="s">
        <v>23</v>
      </c>
    </row>
    <row r="109" spans="1:9" x14ac:dyDescent="0.3">
      <c r="A109">
        <v>107</v>
      </c>
      <c r="B109" t="s">
        <v>41</v>
      </c>
      <c r="C109">
        <v>42</v>
      </c>
      <c r="D109" t="s">
        <v>52</v>
      </c>
      <c r="E109" s="3">
        <v>1083.2746</v>
      </c>
      <c r="F109" s="3">
        <v>-96.309700000000007</v>
      </c>
      <c r="G109" s="3">
        <v>-356.6019</v>
      </c>
      <c r="H109">
        <v>5</v>
      </c>
      <c r="I109" t="s">
        <v>23</v>
      </c>
    </row>
    <row r="110" spans="1:9" x14ac:dyDescent="0.3">
      <c r="A110">
        <v>108</v>
      </c>
      <c r="B110" t="s">
        <v>41</v>
      </c>
      <c r="C110">
        <v>506</v>
      </c>
      <c r="D110" t="s">
        <v>53</v>
      </c>
      <c r="E110" s="3">
        <v>1148.5925999999999</v>
      </c>
      <c r="F110" s="3">
        <v>-22.802199999999999</v>
      </c>
      <c r="G110" s="3">
        <v>-460.52109999999999</v>
      </c>
      <c r="H110">
        <v>5</v>
      </c>
      <c r="I110" t="s">
        <v>23</v>
      </c>
    </row>
    <row r="111" spans="1:9" x14ac:dyDescent="0.3">
      <c r="A111">
        <v>109</v>
      </c>
      <c r="B111" t="s">
        <v>41</v>
      </c>
      <c r="C111">
        <v>507</v>
      </c>
      <c r="D111" t="s">
        <v>54</v>
      </c>
      <c r="E111" s="3">
        <v>676.8424</v>
      </c>
      <c r="F111" s="3">
        <v>-26.1083</v>
      </c>
      <c r="G111" s="3">
        <v>-1093.9142999999999</v>
      </c>
      <c r="H111">
        <v>5</v>
      </c>
      <c r="I111" t="s">
        <v>23</v>
      </c>
    </row>
    <row r="112" spans="1:9" x14ac:dyDescent="0.3">
      <c r="A112">
        <v>110</v>
      </c>
      <c r="B112" t="s">
        <v>41</v>
      </c>
      <c r="C112">
        <v>509</v>
      </c>
      <c r="D112" t="s">
        <v>55</v>
      </c>
      <c r="E112" s="3">
        <v>487.87270000000001</v>
      </c>
      <c r="F112" s="3">
        <v>-402.04880000000003</v>
      </c>
      <c r="G112" s="3">
        <v>438.76740000000001</v>
      </c>
      <c r="H112">
        <v>5</v>
      </c>
      <c r="I112" t="s">
        <v>23</v>
      </c>
    </row>
    <row r="113" spans="1:10" x14ac:dyDescent="0.3">
      <c r="A113">
        <v>111</v>
      </c>
      <c r="B113" t="s">
        <v>41</v>
      </c>
      <c r="C113">
        <v>57</v>
      </c>
      <c r="D113" t="s">
        <v>56</v>
      </c>
      <c r="E113" s="3">
        <v>381.63</v>
      </c>
      <c r="F113" s="3">
        <v>-99.013499999999993</v>
      </c>
      <c r="G113" s="3">
        <v>-132.49549999999999</v>
      </c>
      <c r="H113">
        <v>5</v>
      </c>
      <c r="I113" t="s">
        <v>23</v>
      </c>
    </row>
    <row r="114" spans="1:10" x14ac:dyDescent="0.3">
      <c r="A114">
        <v>112</v>
      </c>
      <c r="B114" t="s">
        <v>41</v>
      </c>
      <c r="C114">
        <v>87</v>
      </c>
      <c r="D114" t="s">
        <v>57</v>
      </c>
      <c r="E114" s="3">
        <v>1198.8471999999999</v>
      </c>
      <c r="F114" s="3">
        <v>-629.93629999999996</v>
      </c>
      <c r="G114" s="3">
        <v>-976.36180000000002</v>
      </c>
      <c r="H114">
        <v>5</v>
      </c>
      <c r="I114" t="s">
        <v>23</v>
      </c>
    </row>
    <row r="115" spans="1:10" x14ac:dyDescent="0.3">
      <c r="A115">
        <v>113</v>
      </c>
      <c r="B115" t="s">
        <v>41</v>
      </c>
      <c r="C115">
        <v>92</v>
      </c>
      <c r="D115" t="s">
        <v>58</v>
      </c>
      <c r="E115" s="3">
        <v>532.80229999999995</v>
      </c>
      <c r="F115" s="3">
        <v>-93.417699999999996</v>
      </c>
      <c r="G115" s="3">
        <v>-862.55020000000002</v>
      </c>
      <c r="H115">
        <v>5</v>
      </c>
      <c r="I115" t="s">
        <v>23</v>
      </c>
    </row>
    <row r="116" spans="1:10" x14ac:dyDescent="0.3">
      <c r="A116">
        <v>114</v>
      </c>
      <c r="B116" t="s">
        <v>41</v>
      </c>
      <c r="C116">
        <v>96</v>
      </c>
      <c r="D116" t="s">
        <v>59</v>
      </c>
      <c r="E116" s="3">
        <v>424.50970000000001</v>
      </c>
      <c r="F116" s="3">
        <v>2.7751999999999999</v>
      </c>
      <c r="G116" s="3">
        <v>303.8399</v>
      </c>
      <c r="H116">
        <v>5</v>
      </c>
      <c r="I116" t="s">
        <v>23</v>
      </c>
    </row>
    <row r="117" spans="1:10" x14ac:dyDescent="0.3">
      <c r="A117">
        <v>120</v>
      </c>
      <c r="B117" t="s">
        <v>60</v>
      </c>
      <c r="C117">
        <v>51008</v>
      </c>
      <c r="D117" t="s">
        <v>16</v>
      </c>
      <c r="E117" s="3">
        <v>575.59054957283604</v>
      </c>
      <c r="F117" s="3">
        <v>-52.671074357228889</v>
      </c>
      <c r="G117" s="3">
        <v>347.52051926657089</v>
      </c>
      <c r="H117">
        <v>6</v>
      </c>
      <c r="I117" t="s">
        <v>17</v>
      </c>
      <c r="J117" t="s">
        <v>18</v>
      </c>
    </row>
    <row r="118" spans="1:10" x14ac:dyDescent="0.3">
      <c r="A118">
        <v>121</v>
      </c>
      <c r="B118" t="s">
        <v>60</v>
      </c>
      <c r="C118">
        <v>51011</v>
      </c>
      <c r="D118" t="s">
        <v>19</v>
      </c>
      <c r="E118" s="3">
        <v>1296.8680286535439</v>
      </c>
      <c r="F118" s="3">
        <v>-46.695201124219587</v>
      </c>
      <c r="G118" s="3">
        <v>-489.00269485976253</v>
      </c>
      <c r="H118">
        <v>6</v>
      </c>
      <c r="I118" t="s">
        <v>17</v>
      </c>
      <c r="J118" t="s">
        <v>18</v>
      </c>
    </row>
    <row r="119" spans="1:10" x14ac:dyDescent="0.3">
      <c r="A119">
        <v>122</v>
      </c>
      <c r="B119" t="s">
        <v>60</v>
      </c>
      <c r="C119">
        <v>51024</v>
      </c>
      <c r="D119" t="s">
        <v>20</v>
      </c>
      <c r="E119" s="3">
        <v>604.91874146621478</v>
      </c>
      <c r="F119" s="3">
        <v>-45.40829991260884</v>
      </c>
      <c r="G119" s="3">
        <v>-1114.796676039414</v>
      </c>
      <c r="H119">
        <v>6</v>
      </c>
      <c r="I119" t="s">
        <v>17</v>
      </c>
      <c r="J119" t="s">
        <v>18</v>
      </c>
    </row>
    <row r="120" spans="1:10" x14ac:dyDescent="0.3">
      <c r="A120">
        <v>123</v>
      </c>
      <c r="B120" t="s">
        <v>60</v>
      </c>
      <c r="C120">
        <v>51003</v>
      </c>
      <c r="D120" t="s">
        <v>21</v>
      </c>
      <c r="E120" s="3">
        <v>-115.5531542992735</v>
      </c>
      <c r="F120" s="3">
        <v>-51.075117614971788</v>
      </c>
      <c r="G120" s="3">
        <v>-283.10250185298742</v>
      </c>
      <c r="H120">
        <v>6</v>
      </c>
      <c r="I120" t="s">
        <v>17</v>
      </c>
      <c r="J120" t="s">
        <v>18</v>
      </c>
    </row>
    <row r="121" spans="1:10" x14ac:dyDescent="0.3">
      <c r="A121">
        <v>115</v>
      </c>
      <c r="B121" t="s">
        <v>60</v>
      </c>
      <c r="C121">
        <v>501</v>
      </c>
      <c r="D121" t="s">
        <v>10</v>
      </c>
      <c r="E121" s="3">
        <v>-2.0799999999999999E-2</v>
      </c>
      <c r="F121" s="3">
        <v>0.3785</v>
      </c>
      <c r="G121" s="3">
        <v>-0.1804</v>
      </c>
      <c r="H121">
        <v>6</v>
      </c>
      <c r="I121" t="s">
        <v>11</v>
      </c>
    </row>
    <row r="122" spans="1:10" x14ac:dyDescent="0.3">
      <c r="A122">
        <v>116</v>
      </c>
      <c r="B122" t="s">
        <v>60</v>
      </c>
      <c r="C122">
        <v>502</v>
      </c>
      <c r="D122" t="s">
        <v>12</v>
      </c>
      <c r="E122" s="3">
        <v>172.17429999999999</v>
      </c>
      <c r="F122" s="3">
        <v>0.50949999999999995</v>
      </c>
      <c r="G122" s="3">
        <v>-175.41800000000001</v>
      </c>
      <c r="H122">
        <v>6</v>
      </c>
      <c r="I122" t="s">
        <v>11</v>
      </c>
    </row>
    <row r="123" spans="1:10" x14ac:dyDescent="0.3">
      <c r="A123">
        <v>117</v>
      </c>
      <c r="B123" t="s">
        <v>60</v>
      </c>
      <c r="C123">
        <v>503</v>
      </c>
      <c r="D123" t="s">
        <v>13</v>
      </c>
      <c r="E123" s="3">
        <v>170.68860000000001</v>
      </c>
      <c r="F123" s="3">
        <v>-0.1678</v>
      </c>
      <c r="G123" s="3">
        <v>-1.1132</v>
      </c>
      <c r="H123">
        <v>6</v>
      </c>
      <c r="I123" t="s">
        <v>11</v>
      </c>
    </row>
    <row r="124" spans="1:10" x14ac:dyDescent="0.3">
      <c r="A124">
        <v>118</v>
      </c>
      <c r="B124" t="s">
        <v>60</v>
      </c>
      <c r="C124">
        <v>504</v>
      </c>
      <c r="D124" t="s">
        <v>14</v>
      </c>
      <c r="E124" s="3">
        <v>346.45060000000001</v>
      </c>
      <c r="F124" s="3">
        <v>0.45910000000000001</v>
      </c>
      <c r="G124" s="3">
        <v>-7.17E-2</v>
      </c>
      <c r="H124">
        <v>6</v>
      </c>
      <c r="I124" t="s">
        <v>11</v>
      </c>
    </row>
    <row r="125" spans="1:10" x14ac:dyDescent="0.3">
      <c r="A125">
        <v>119</v>
      </c>
      <c r="B125" t="s">
        <v>60</v>
      </c>
      <c r="C125">
        <v>505</v>
      </c>
      <c r="D125" t="s">
        <v>15</v>
      </c>
      <c r="E125" s="3">
        <v>169.81379999999999</v>
      </c>
      <c r="F125" s="3">
        <v>0.33410000000000001</v>
      </c>
      <c r="G125" s="3">
        <v>175.0076</v>
      </c>
      <c r="H125">
        <v>6</v>
      </c>
      <c r="I125" t="s">
        <v>11</v>
      </c>
    </row>
    <row r="126" spans="1:10" x14ac:dyDescent="0.3">
      <c r="A126">
        <v>124</v>
      </c>
      <c r="B126" t="s">
        <v>60</v>
      </c>
      <c r="C126">
        <v>50116</v>
      </c>
      <c r="D126" t="s">
        <v>22</v>
      </c>
      <c r="E126" s="3">
        <v>1012.140208424094</v>
      </c>
      <c r="F126" s="3">
        <v>-625.39571372735975</v>
      </c>
      <c r="G126" s="3">
        <v>-1135.1420297301131</v>
      </c>
      <c r="H126">
        <v>6</v>
      </c>
      <c r="I126" t="s">
        <v>23</v>
      </c>
      <c r="J126" t="s">
        <v>18</v>
      </c>
    </row>
    <row r="127" spans="1:10" x14ac:dyDescent="0.3">
      <c r="A127">
        <v>125</v>
      </c>
      <c r="B127" t="s">
        <v>60</v>
      </c>
      <c r="C127">
        <v>50121</v>
      </c>
      <c r="D127" t="s">
        <v>24</v>
      </c>
      <c r="E127" s="3">
        <v>635.30955340659159</v>
      </c>
      <c r="F127" s="3">
        <v>-99.367398934581985</v>
      </c>
      <c r="G127" s="3">
        <v>96.243132655259643</v>
      </c>
      <c r="H127">
        <v>6</v>
      </c>
      <c r="I127" t="s">
        <v>23</v>
      </c>
      <c r="J127" t="s">
        <v>18</v>
      </c>
    </row>
    <row r="128" spans="1:10" x14ac:dyDescent="0.3">
      <c r="A128">
        <v>126</v>
      </c>
      <c r="B128" t="s">
        <v>60</v>
      </c>
      <c r="C128">
        <v>50013</v>
      </c>
      <c r="D128" t="s">
        <v>25</v>
      </c>
      <c r="E128" s="3">
        <v>279.75660522087861</v>
      </c>
      <c r="F128" s="3">
        <v>3.6075011667548482</v>
      </c>
      <c r="G128" s="3">
        <v>200.75006395183689</v>
      </c>
      <c r="H128">
        <v>6</v>
      </c>
      <c r="I128" t="s">
        <v>23</v>
      </c>
      <c r="J128" t="s">
        <v>18</v>
      </c>
    </row>
    <row r="129" spans="1:10" x14ac:dyDescent="0.3">
      <c r="A129">
        <v>127</v>
      </c>
      <c r="B129" t="s">
        <v>60</v>
      </c>
      <c r="C129">
        <v>50034</v>
      </c>
      <c r="D129" t="s">
        <v>26</v>
      </c>
      <c r="E129" s="3">
        <v>757.85908379876241</v>
      </c>
      <c r="F129" s="3">
        <v>-94.920311723186217</v>
      </c>
      <c r="G129" s="3">
        <v>-665.60462725185766</v>
      </c>
      <c r="H129">
        <v>6</v>
      </c>
      <c r="I129" t="s">
        <v>23</v>
      </c>
      <c r="J129" t="s">
        <v>18</v>
      </c>
    </row>
    <row r="130" spans="1:10" x14ac:dyDescent="0.3">
      <c r="A130">
        <v>128</v>
      </c>
      <c r="B130" t="s">
        <v>60</v>
      </c>
      <c r="C130">
        <v>50037</v>
      </c>
      <c r="D130" t="s">
        <v>27</v>
      </c>
      <c r="E130" s="3">
        <v>33.372203197270728</v>
      </c>
      <c r="F130" s="3">
        <v>-98.726187570904628</v>
      </c>
      <c r="G130" s="3">
        <v>-390.82098885698917</v>
      </c>
      <c r="H130">
        <v>6</v>
      </c>
      <c r="I130" t="s">
        <v>23</v>
      </c>
      <c r="J130" t="s">
        <v>18</v>
      </c>
    </row>
    <row r="131" spans="1:10" x14ac:dyDescent="0.3">
      <c r="A131">
        <v>130</v>
      </c>
      <c r="B131" t="s">
        <v>60</v>
      </c>
      <c r="C131">
        <v>50004</v>
      </c>
      <c r="D131" t="s">
        <v>29</v>
      </c>
      <c r="E131" s="3">
        <v>1045.8734751678189</v>
      </c>
      <c r="F131" s="3">
        <v>-513.14108802565534</v>
      </c>
      <c r="G131" s="3">
        <v>-1104.989969639018</v>
      </c>
      <c r="H131">
        <v>6</v>
      </c>
      <c r="I131" t="s">
        <v>23</v>
      </c>
      <c r="J131" t="s">
        <v>18</v>
      </c>
    </row>
    <row r="132" spans="1:10" x14ac:dyDescent="0.3">
      <c r="A132">
        <v>129</v>
      </c>
      <c r="B132" t="s">
        <v>60</v>
      </c>
      <c r="C132">
        <v>50042</v>
      </c>
      <c r="D132" t="s">
        <v>28</v>
      </c>
      <c r="E132" s="3">
        <v>1083.242064647915</v>
      </c>
      <c r="F132" s="3">
        <v>-96.771990027752707</v>
      </c>
      <c r="G132" s="3">
        <v>-356.30883664248603</v>
      </c>
      <c r="H132">
        <v>6</v>
      </c>
      <c r="I132" t="s">
        <v>23</v>
      </c>
      <c r="J132" t="s">
        <v>18</v>
      </c>
    </row>
    <row r="133" spans="1:10" x14ac:dyDescent="0.3">
      <c r="A133">
        <v>131</v>
      </c>
      <c r="B133" t="s">
        <v>60</v>
      </c>
      <c r="C133">
        <v>50506</v>
      </c>
      <c r="D133" t="s">
        <v>30</v>
      </c>
      <c r="E133" s="3">
        <v>1148.548232864284</v>
      </c>
      <c r="F133" s="3">
        <v>-23.47264487855767</v>
      </c>
      <c r="G133" s="3">
        <v>-460.3823885300074</v>
      </c>
      <c r="H133">
        <v>6</v>
      </c>
      <c r="I133" t="s">
        <v>23</v>
      </c>
      <c r="J133" t="s">
        <v>18</v>
      </c>
    </row>
    <row r="134" spans="1:10" x14ac:dyDescent="0.3">
      <c r="A134">
        <v>132</v>
      </c>
      <c r="B134" t="s">
        <v>60</v>
      </c>
      <c r="C134">
        <v>50507</v>
      </c>
      <c r="D134" t="s">
        <v>31</v>
      </c>
      <c r="E134" s="3">
        <v>676.70159116858235</v>
      </c>
      <c r="F134" s="3">
        <v>-27.999419614772691</v>
      </c>
      <c r="G134" s="3">
        <v>-1093.6961988440301</v>
      </c>
      <c r="H134">
        <v>6</v>
      </c>
      <c r="I134" t="s">
        <v>23</v>
      </c>
      <c r="J134" t="s">
        <v>18</v>
      </c>
    </row>
    <row r="135" spans="1:10" x14ac:dyDescent="0.3">
      <c r="A135">
        <v>133</v>
      </c>
      <c r="B135" t="s">
        <v>60</v>
      </c>
      <c r="C135">
        <v>50509</v>
      </c>
      <c r="D135" t="s">
        <v>32</v>
      </c>
      <c r="E135" s="3">
        <v>487.94457427097882</v>
      </c>
      <c r="F135" s="3">
        <v>-400.91325009441528</v>
      </c>
      <c r="G135" s="3">
        <v>439.75091931236318</v>
      </c>
      <c r="H135">
        <v>6</v>
      </c>
      <c r="I135" t="s">
        <v>23</v>
      </c>
      <c r="J135" t="s">
        <v>18</v>
      </c>
    </row>
    <row r="136" spans="1:10" x14ac:dyDescent="0.3">
      <c r="A136">
        <v>134</v>
      </c>
      <c r="B136" t="s">
        <v>60</v>
      </c>
      <c r="C136">
        <v>50057</v>
      </c>
      <c r="D136" t="s">
        <v>33</v>
      </c>
      <c r="E136" s="3">
        <v>381.63138994962418</v>
      </c>
      <c r="F136" s="3">
        <v>-98.996789711929239</v>
      </c>
      <c r="G136" s="3">
        <v>-132.09098458709269</v>
      </c>
      <c r="H136">
        <v>6</v>
      </c>
      <c r="I136" t="s">
        <v>23</v>
      </c>
      <c r="J136" t="s">
        <v>18</v>
      </c>
    </row>
    <row r="137" spans="1:10" x14ac:dyDescent="0.3">
      <c r="A137">
        <v>135</v>
      </c>
      <c r="B137" t="s">
        <v>60</v>
      </c>
      <c r="C137">
        <v>50087</v>
      </c>
      <c r="D137" t="s">
        <v>34</v>
      </c>
      <c r="E137" s="3">
        <v>1198.6916908247281</v>
      </c>
      <c r="F137" s="3">
        <v>-631.6232585889245</v>
      </c>
      <c r="G137" s="3">
        <v>-975.03511867717521</v>
      </c>
      <c r="H137">
        <v>6</v>
      </c>
      <c r="I137" t="s">
        <v>23</v>
      </c>
      <c r="J137" t="s">
        <v>18</v>
      </c>
    </row>
    <row r="138" spans="1:10" x14ac:dyDescent="0.3">
      <c r="A138">
        <v>136</v>
      </c>
      <c r="B138" t="s">
        <v>60</v>
      </c>
      <c r="C138">
        <v>50092</v>
      </c>
      <c r="D138" t="s">
        <v>35</v>
      </c>
      <c r="E138" s="3">
        <v>532.69302857275113</v>
      </c>
      <c r="F138" s="3">
        <v>-94.845648497765708</v>
      </c>
      <c r="G138" s="3">
        <v>-862.17823390742979</v>
      </c>
      <c r="H138">
        <v>6</v>
      </c>
      <c r="I138" t="s">
        <v>23</v>
      </c>
      <c r="J138" t="s">
        <v>18</v>
      </c>
    </row>
    <row r="139" spans="1:10" x14ac:dyDescent="0.3">
      <c r="A139">
        <v>137</v>
      </c>
      <c r="B139" t="s">
        <v>60</v>
      </c>
      <c r="C139">
        <v>50096</v>
      </c>
      <c r="D139" t="s">
        <v>36</v>
      </c>
      <c r="E139" s="3">
        <v>424.58289687366403</v>
      </c>
      <c r="F139" s="3">
        <v>3.6479188672423661</v>
      </c>
      <c r="G139" s="3">
        <v>304.0367733767763</v>
      </c>
      <c r="H139">
        <v>6</v>
      </c>
      <c r="I139" t="s">
        <v>23</v>
      </c>
      <c r="J139" t="s">
        <v>18</v>
      </c>
    </row>
    <row r="140" spans="1:10" x14ac:dyDescent="0.3">
      <c r="A140">
        <v>143</v>
      </c>
      <c r="B140" t="s">
        <v>61</v>
      </c>
      <c r="C140">
        <v>51008</v>
      </c>
      <c r="D140" t="s">
        <v>16</v>
      </c>
      <c r="E140" s="3">
        <v>575.46215288081669</v>
      </c>
      <c r="F140" s="3">
        <v>-52.474425414213428</v>
      </c>
      <c r="G140" s="3">
        <v>347.41565914997909</v>
      </c>
      <c r="H140">
        <v>7</v>
      </c>
      <c r="I140" t="s">
        <v>17</v>
      </c>
      <c r="J140" t="s">
        <v>18</v>
      </c>
    </row>
    <row r="141" spans="1:10" x14ac:dyDescent="0.3">
      <c r="A141">
        <v>144</v>
      </c>
      <c r="B141" t="s">
        <v>61</v>
      </c>
      <c r="C141">
        <v>51011</v>
      </c>
      <c r="D141" t="s">
        <v>19</v>
      </c>
      <c r="E141" s="3">
        <v>1297.057514393771</v>
      </c>
      <c r="F141" s="3">
        <v>-46.994891680843253</v>
      </c>
      <c r="G141" s="3">
        <v>-488.83676064635421</v>
      </c>
      <c r="H141">
        <v>7</v>
      </c>
      <c r="I141" t="s">
        <v>17</v>
      </c>
      <c r="J141" t="s">
        <v>18</v>
      </c>
    </row>
    <row r="142" spans="1:10" x14ac:dyDescent="0.3">
      <c r="A142">
        <v>145</v>
      </c>
      <c r="B142" t="s">
        <v>61</v>
      </c>
      <c r="C142">
        <v>51024</v>
      </c>
      <c r="D142" t="s">
        <v>20</v>
      </c>
      <c r="E142" s="3">
        <v>605.34663815658769</v>
      </c>
      <c r="F142" s="3">
        <v>-46.273737529294273</v>
      </c>
      <c r="G142" s="3">
        <v>-1114.895162607655</v>
      </c>
      <c r="H142">
        <v>7</v>
      </c>
      <c r="I142" t="s">
        <v>17</v>
      </c>
      <c r="J142" t="s">
        <v>18</v>
      </c>
    </row>
    <row r="143" spans="1:10" x14ac:dyDescent="0.3">
      <c r="A143">
        <v>146</v>
      </c>
      <c r="B143" t="s">
        <v>61</v>
      </c>
      <c r="C143">
        <v>51003</v>
      </c>
      <c r="D143" t="s">
        <v>21</v>
      </c>
      <c r="E143" s="3">
        <v>-115.4413479721045</v>
      </c>
      <c r="F143" s="3">
        <v>-51.447611262364568</v>
      </c>
      <c r="G143" s="3">
        <v>-283.47169958200197</v>
      </c>
      <c r="H143">
        <v>7</v>
      </c>
      <c r="I143" t="s">
        <v>17</v>
      </c>
      <c r="J143" t="s">
        <v>18</v>
      </c>
    </row>
    <row r="144" spans="1:10" x14ac:dyDescent="0.3">
      <c r="A144">
        <v>138</v>
      </c>
      <c r="B144" t="s">
        <v>61</v>
      </c>
      <c r="C144">
        <v>501</v>
      </c>
      <c r="D144" t="s">
        <v>10</v>
      </c>
      <c r="E144" s="3">
        <v>-2.9000000000000001E-2</v>
      </c>
      <c r="F144" s="3">
        <v>0.20799999999999999</v>
      </c>
      <c r="G144" s="3">
        <v>-0.55100000000000005</v>
      </c>
      <c r="H144">
        <v>7</v>
      </c>
      <c r="I144" t="s">
        <v>11</v>
      </c>
    </row>
    <row r="145" spans="1:10" x14ac:dyDescent="0.3">
      <c r="A145">
        <v>139</v>
      </c>
      <c r="B145" t="s">
        <v>61</v>
      </c>
      <c r="C145">
        <v>502</v>
      </c>
      <c r="D145" t="s">
        <v>12</v>
      </c>
      <c r="E145" s="3">
        <v>172.23</v>
      </c>
      <c r="F145" s="3">
        <v>0.27300000000000002</v>
      </c>
      <c r="G145" s="3">
        <v>-175.715</v>
      </c>
      <c r="H145">
        <v>7</v>
      </c>
      <c r="I145" t="s">
        <v>11</v>
      </c>
    </row>
    <row r="146" spans="1:10" x14ac:dyDescent="0.3">
      <c r="A146">
        <v>140</v>
      </c>
      <c r="B146" t="s">
        <v>61</v>
      </c>
      <c r="C146">
        <v>503</v>
      </c>
      <c r="D146" t="s">
        <v>13</v>
      </c>
      <c r="E146" s="3">
        <v>170.684</v>
      </c>
      <c r="F146" s="3">
        <v>-0.26900000000000002</v>
      </c>
      <c r="G146" s="3">
        <v>-1.415</v>
      </c>
      <c r="H146">
        <v>7</v>
      </c>
      <c r="I146" t="s">
        <v>11</v>
      </c>
    </row>
    <row r="147" spans="1:10" x14ac:dyDescent="0.3">
      <c r="A147">
        <v>141</v>
      </c>
      <c r="B147" t="s">
        <v>61</v>
      </c>
      <c r="C147">
        <v>504</v>
      </c>
      <c r="D147" t="s">
        <v>14</v>
      </c>
      <c r="E147" s="3">
        <v>346.45600000000002</v>
      </c>
      <c r="F147" s="3">
        <v>0.34399999999999997</v>
      </c>
      <c r="G147" s="3">
        <v>-0.30099999999999999</v>
      </c>
      <c r="H147">
        <v>7</v>
      </c>
      <c r="I147" t="s">
        <v>11</v>
      </c>
    </row>
    <row r="148" spans="1:10" x14ac:dyDescent="0.3">
      <c r="A148">
        <v>142</v>
      </c>
      <c r="B148" t="s">
        <v>61</v>
      </c>
      <c r="C148">
        <v>505</v>
      </c>
      <c r="D148" t="s">
        <v>15</v>
      </c>
      <c r="E148" s="3">
        <v>169.745</v>
      </c>
      <c r="F148" s="3">
        <v>0.35299999999999998</v>
      </c>
      <c r="G148" s="3">
        <v>174.72</v>
      </c>
      <c r="H148">
        <v>7</v>
      </c>
      <c r="I148" t="s">
        <v>11</v>
      </c>
    </row>
    <row r="149" spans="1:10" x14ac:dyDescent="0.3">
      <c r="A149">
        <v>147</v>
      </c>
      <c r="B149" t="s">
        <v>61</v>
      </c>
      <c r="C149">
        <v>50116</v>
      </c>
      <c r="D149" t="s">
        <v>22</v>
      </c>
      <c r="E149" s="3">
        <v>1012.667237061441</v>
      </c>
      <c r="F149" s="3">
        <v>-626.21153636901556</v>
      </c>
      <c r="G149" s="3">
        <v>-1134.6622042775771</v>
      </c>
      <c r="H149">
        <v>7</v>
      </c>
      <c r="I149" t="s">
        <v>23</v>
      </c>
      <c r="J149" t="s">
        <v>18</v>
      </c>
    </row>
    <row r="150" spans="1:10" x14ac:dyDescent="0.3">
      <c r="A150">
        <v>148</v>
      </c>
      <c r="B150" t="s">
        <v>61</v>
      </c>
      <c r="C150">
        <v>50121</v>
      </c>
      <c r="D150" t="s">
        <v>24</v>
      </c>
      <c r="E150" s="3">
        <v>635.28429920502799</v>
      </c>
      <c r="F150" s="3">
        <v>-99.344607229476253</v>
      </c>
      <c r="G150" s="3">
        <v>96.19518220610243</v>
      </c>
      <c r="H150">
        <v>7</v>
      </c>
      <c r="I150" t="s">
        <v>23</v>
      </c>
      <c r="J150" t="s">
        <v>18</v>
      </c>
    </row>
    <row r="151" spans="1:10" x14ac:dyDescent="0.3">
      <c r="A151">
        <v>149</v>
      </c>
      <c r="B151" t="s">
        <v>61</v>
      </c>
      <c r="C151">
        <v>50013</v>
      </c>
      <c r="D151" t="s">
        <v>25</v>
      </c>
      <c r="E151" s="3">
        <v>279.67531314651558</v>
      </c>
      <c r="F151" s="3">
        <v>3.650361776478011</v>
      </c>
      <c r="G151" s="3">
        <v>200.49145777411789</v>
      </c>
      <c r="H151">
        <v>7</v>
      </c>
      <c r="I151" t="s">
        <v>23</v>
      </c>
      <c r="J151" t="s">
        <v>18</v>
      </c>
    </row>
    <row r="152" spans="1:10" x14ac:dyDescent="0.3">
      <c r="A152">
        <v>150</v>
      </c>
      <c r="B152" t="s">
        <v>61</v>
      </c>
      <c r="C152">
        <v>50034</v>
      </c>
      <c r="D152" t="s">
        <v>26</v>
      </c>
      <c r="E152" s="3">
        <v>758.12353736709497</v>
      </c>
      <c r="F152" s="3">
        <v>-95.433916673009946</v>
      </c>
      <c r="G152" s="3">
        <v>-665.60886170980802</v>
      </c>
      <c r="H152">
        <v>7</v>
      </c>
      <c r="I152" t="s">
        <v>23</v>
      </c>
      <c r="J152" t="s">
        <v>18</v>
      </c>
    </row>
    <row r="153" spans="1:10" x14ac:dyDescent="0.3">
      <c r="A153">
        <v>151</v>
      </c>
      <c r="B153" t="s">
        <v>61</v>
      </c>
      <c r="C153">
        <v>50037</v>
      </c>
      <c r="D153" t="s">
        <v>27</v>
      </c>
      <c r="E153" s="3">
        <v>33.532569734598397</v>
      </c>
      <c r="F153" s="3">
        <v>-99.153731952112551</v>
      </c>
      <c r="G153" s="3">
        <v>-391.09863351446018</v>
      </c>
      <c r="H153">
        <v>7</v>
      </c>
      <c r="I153" t="s">
        <v>23</v>
      </c>
      <c r="J153" t="s">
        <v>18</v>
      </c>
    </row>
    <row r="154" spans="1:10" x14ac:dyDescent="0.3">
      <c r="A154">
        <v>153</v>
      </c>
      <c r="B154" t="s">
        <v>61</v>
      </c>
      <c r="C154">
        <v>50004</v>
      </c>
      <c r="D154" t="s">
        <v>29</v>
      </c>
      <c r="E154" s="3">
        <v>1046.3713145933141</v>
      </c>
      <c r="F154" s="3">
        <v>-513.92962091555285</v>
      </c>
      <c r="G154" s="3">
        <v>-1104.5791920581039</v>
      </c>
      <c r="H154">
        <v>7</v>
      </c>
      <c r="I154" t="s">
        <v>23</v>
      </c>
      <c r="J154" t="s">
        <v>18</v>
      </c>
    </row>
    <row r="155" spans="1:10" x14ac:dyDescent="0.3">
      <c r="A155">
        <v>152</v>
      </c>
      <c r="B155" t="s">
        <v>61</v>
      </c>
      <c r="C155">
        <v>50042</v>
      </c>
      <c r="D155" t="s">
        <v>28</v>
      </c>
      <c r="E155" s="3">
        <v>1083.3888777102061</v>
      </c>
      <c r="F155" s="3">
        <v>-97.008599218592593</v>
      </c>
      <c r="G155" s="3">
        <v>-356.18782529847903</v>
      </c>
      <c r="H155">
        <v>7</v>
      </c>
      <c r="I155" t="s">
        <v>23</v>
      </c>
      <c r="J155" t="s">
        <v>18</v>
      </c>
    </row>
    <row r="156" spans="1:10" x14ac:dyDescent="0.3">
      <c r="A156">
        <v>154</v>
      </c>
      <c r="B156" t="s">
        <v>61</v>
      </c>
      <c r="C156">
        <v>50506</v>
      </c>
      <c r="D156" t="s">
        <v>30</v>
      </c>
      <c r="E156" s="3">
        <v>1148.7231609907981</v>
      </c>
      <c r="F156" s="3">
        <v>-23.77488195804596</v>
      </c>
      <c r="G156" s="3">
        <v>-460.28992851115959</v>
      </c>
      <c r="H156">
        <v>7</v>
      </c>
      <c r="I156" t="s">
        <v>23</v>
      </c>
      <c r="J156" t="s">
        <v>18</v>
      </c>
    </row>
    <row r="157" spans="1:10" x14ac:dyDescent="0.3">
      <c r="A157">
        <v>155</v>
      </c>
      <c r="B157" t="s">
        <v>61</v>
      </c>
      <c r="C157">
        <v>50507</v>
      </c>
      <c r="D157" t="s">
        <v>31</v>
      </c>
      <c r="E157" s="3">
        <v>677.11869438907297</v>
      </c>
      <c r="F157" s="3">
        <v>-28.838136399466929</v>
      </c>
      <c r="G157" s="3">
        <v>-1093.7800372257741</v>
      </c>
      <c r="H157">
        <v>7</v>
      </c>
      <c r="I157" t="s">
        <v>23</v>
      </c>
      <c r="J157" t="s">
        <v>18</v>
      </c>
    </row>
    <row r="158" spans="1:10" x14ac:dyDescent="0.3">
      <c r="A158">
        <v>156</v>
      </c>
      <c r="B158" t="s">
        <v>61</v>
      </c>
      <c r="C158">
        <v>50509</v>
      </c>
      <c r="D158" t="s">
        <v>32</v>
      </c>
      <c r="E158" s="3">
        <v>487.83591235867232</v>
      </c>
      <c r="F158" s="3">
        <v>-400.66306304804192</v>
      </c>
      <c r="G158" s="3">
        <v>439.86667989093007</v>
      </c>
      <c r="H158">
        <v>7</v>
      </c>
      <c r="I158" t="s">
        <v>23</v>
      </c>
      <c r="J158" t="s">
        <v>18</v>
      </c>
    </row>
    <row r="159" spans="1:10" x14ac:dyDescent="0.3">
      <c r="A159">
        <v>157</v>
      </c>
      <c r="B159" t="s">
        <v>61</v>
      </c>
      <c r="C159">
        <v>50057</v>
      </c>
      <c r="D159" t="s">
        <v>33</v>
      </c>
      <c r="E159" s="3">
        <v>381.69314070264039</v>
      </c>
      <c r="F159" s="3">
        <v>-99.180613105885016</v>
      </c>
      <c r="G159" s="3">
        <v>-132.23580189693999</v>
      </c>
      <c r="H159">
        <v>7</v>
      </c>
      <c r="I159" t="s">
        <v>23</v>
      </c>
      <c r="J159" t="s">
        <v>18</v>
      </c>
    </row>
    <row r="160" spans="1:10" x14ac:dyDescent="0.3">
      <c r="A160">
        <v>158</v>
      </c>
      <c r="B160" t="s">
        <v>61</v>
      </c>
      <c r="C160">
        <v>50087</v>
      </c>
      <c r="D160" t="s">
        <v>34</v>
      </c>
      <c r="E160" s="3">
        <v>1199.158651775929</v>
      </c>
      <c r="F160" s="3">
        <v>-632.29283252305584</v>
      </c>
      <c r="G160" s="3">
        <v>-974.47971165536319</v>
      </c>
      <c r="H160">
        <v>7</v>
      </c>
      <c r="I160" t="s">
        <v>23</v>
      </c>
      <c r="J160" t="s">
        <v>18</v>
      </c>
    </row>
    <row r="161" spans="1:10" x14ac:dyDescent="0.3">
      <c r="A161">
        <v>159</v>
      </c>
      <c r="B161" t="s">
        <v>61</v>
      </c>
      <c r="C161">
        <v>50092</v>
      </c>
      <c r="D161" t="s">
        <v>35</v>
      </c>
      <c r="E161" s="3">
        <v>533.03242409309337</v>
      </c>
      <c r="F161" s="3">
        <v>-95.538198481795561</v>
      </c>
      <c r="G161" s="3">
        <v>-862.26826444609981</v>
      </c>
      <c r="H161">
        <v>7</v>
      </c>
      <c r="I161" t="s">
        <v>23</v>
      </c>
      <c r="J161" t="s">
        <v>18</v>
      </c>
    </row>
    <row r="162" spans="1:10" x14ac:dyDescent="0.3">
      <c r="A162">
        <v>160</v>
      </c>
      <c r="B162" t="s">
        <v>61</v>
      </c>
      <c r="C162">
        <v>50096</v>
      </c>
      <c r="D162" t="s">
        <v>36</v>
      </c>
      <c r="E162" s="3">
        <v>424.4622128440422</v>
      </c>
      <c r="F162" s="3">
        <v>3.7889900223016748</v>
      </c>
      <c r="G162" s="3">
        <v>303.8332943627322</v>
      </c>
      <c r="H162">
        <v>7</v>
      </c>
      <c r="I162" t="s">
        <v>23</v>
      </c>
      <c r="J162" t="s">
        <v>18</v>
      </c>
    </row>
    <row r="163" spans="1:10" x14ac:dyDescent="0.3">
      <c r="A163">
        <v>166</v>
      </c>
      <c r="B163" t="s">
        <v>62</v>
      </c>
      <c r="C163">
        <v>51008</v>
      </c>
      <c r="D163" t="s">
        <v>16</v>
      </c>
      <c r="E163" s="3">
        <v>575.67480892869412</v>
      </c>
      <c r="F163" s="3">
        <v>-50.520936105968651</v>
      </c>
      <c r="G163" s="3">
        <v>349.73472942423848</v>
      </c>
      <c r="H163">
        <v>8</v>
      </c>
      <c r="I163" t="s">
        <v>17</v>
      </c>
      <c r="J163" t="s">
        <v>18</v>
      </c>
    </row>
    <row r="164" spans="1:10" x14ac:dyDescent="0.3">
      <c r="A164">
        <v>167</v>
      </c>
      <c r="B164" t="s">
        <v>62</v>
      </c>
      <c r="C164">
        <v>51011</v>
      </c>
      <c r="D164" t="s">
        <v>19</v>
      </c>
      <c r="E164" s="3">
        <v>1295.7856401875681</v>
      </c>
      <c r="F164" s="3">
        <v>-58.321966337772082</v>
      </c>
      <c r="G164" s="3">
        <v>-487.77797811705358</v>
      </c>
      <c r="H164">
        <v>8</v>
      </c>
      <c r="I164" t="s">
        <v>17</v>
      </c>
      <c r="J164" t="s">
        <v>18</v>
      </c>
    </row>
    <row r="165" spans="1:10" x14ac:dyDescent="0.3">
      <c r="A165">
        <v>168</v>
      </c>
      <c r="B165" t="s">
        <v>62</v>
      </c>
      <c r="C165">
        <v>51024</v>
      </c>
      <c r="D165" t="s">
        <v>20</v>
      </c>
      <c r="E165" s="3">
        <v>602.96895842983031</v>
      </c>
      <c r="F165" s="3">
        <v>-59.635683497675672</v>
      </c>
      <c r="G165" s="3">
        <v>-1112.6114748662919</v>
      </c>
      <c r="H165">
        <v>8</v>
      </c>
      <c r="I165" t="s">
        <v>17</v>
      </c>
      <c r="J165" t="s">
        <v>18</v>
      </c>
    </row>
    <row r="166" spans="1:10" x14ac:dyDescent="0.3">
      <c r="A166">
        <v>169</v>
      </c>
      <c r="B166" t="s">
        <v>62</v>
      </c>
      <c r="C166">
        <v>51003</v>
      </c>
      <c r="D166" t="s">
        <v>21</v>
      </c>
      <c r="E166" s="3">
        <v>-116.34124182881359</v>
      </c>
      <c r="F166" s="3">
        <v>-51.584139041785143</v>
      </c>
      <c r="G166" s="3">
        <v>-279.93202080117987</v>
      </c>
      <c r="H166">
        <v>8</v>
      </c>
      <c r="I166" t="s">
        <v>17</v>
      </c>
      <c r="J166" t="s">
        <v>18</v>
      </c>
    </row>
    <row r="167" spans="1:10" x14ac:dyDescent="0.3">
      <c r="A167">
        <v>161</v>
      </c>
      <c r="B167" t="s">
        <v>62</v>
      </c>
      <c r="C167">
        <v>501</v>
      </c>
      <c r="D167" t="s">
        <v>10</v>
      </c>
      <c r="E167" s="3">
        <v>-8.4900000000000003E-2</v>
      </c>
      <c r="F167" s="3">
        <v>2.2864</v>
      </c>
      <c r="G167" s="3">
        <v>2.2444000000000002</v>
      </c>
      <c r="H167">
        <v>8</v>
      </c>
      <c r="I167" t="s">
        <v>11</v>
      </c>
    </row>
    <row r="168" spans="1:10" x14ac:dyDescent="0.3">
      <c r="A168">
        <v>162</v>
      </c>
      <c r="B168" t="s">
        <v>62</v>
      </c>
      <c r="C168">
        <v>502</v>
      </c>
      <c r="D168" t="s">
        <v>12</v>
      </c>
      <c r="E168" s="3">
        <v>171.85290000000001</v>
      </c>
      <c r="F168" s="3">
        <v>-0.61199999999999999</v>
      </c>
      <c r="G168" s="3">
        <v>-173.2148</v>
      </c>
      <c r="H168">
        <v>8</v>
      </c>
      <c r="I168" t="s">
        <v>11</v>
      </c>
    </row>
    <row r="169" spans="1:10" x14ac:dyDescent="0.3">
      <c r="A169">
        <v>163</v>
      </c>
      <c r="B169" t="s">
        <v>62</v>
      </c>
      <c r="C169">
        <v>503</v>
      </c>
      <c r="D169" t="s">
        <v>13</v>
      </c>
      <c r="E169" s="3">
        <v>170.61799999999999</v>
      </c>
      <c r="F169" s="3">
        <v>0.63029999999999997</v>
      </c>
      <c r="G169" s="3">
        <v>1.0838000000000001</v>
      </c>
      <c r="H169">
        <v>8</v>
      </c>
      <c r="I169" t="s">
        <v>11</v>
      </c>
    </row>
    <row r="170" spans="1:10" x14ac:dyDescent="0.3">
      <c r="A170">
        <v>164</v>
      </c>
      <c r="B170" t="s">
        <v>62</v>
      </c>
      <c r="C170">
        <v>504</v>
      </c>
      <c r="D170" t="s">
        <v>14</v>
      </c>
      <c r="E170" s="3">
        <v>346.37349999999998</v>
      </c>
      <c r="F170" s="3">
        <v>0.2001</v>
      </c>
      <c r="G170" s="3">
        <v>1.8844000000000001</v>
      </c>
      <c r="H170">
        <v>8</v>
      </c>
      <c r="I170" t="s">
        <v>11</v>
      </c>
    </row>
    <row r="171" spans="1:10" x14ac:dyDescent="0.3">
      <c r="A171">
        <v>165</v>
      </c>
      <c r="B171" t="s">
        <v>62</v>
      </c>
      <c r="C171">
        <v>505</v>
      </c>
      <c r="D171" t="s">
        <v>15</v>
      </c>
      <c r="E171" s="3">
        <v>169.99019999999999</v>
      </c>
      <c r="F171" s="3">
        <v>3.1078999999999999</v>
      </c>
      <c r="G171" s="3">
        <v>177.20070000000001</v>
      </c>
      <c r="H171">
        <v>8</v>
      </c>
      <c r="I171" t="s">
        <v>11</v>
      </c>
    </row>
    <row r="172" spans="1:10" x14ac:dyDescent="0.3">
      <c r="A172">
        <v>170</v>
      </c>
      <c r="B172" t="s">
        <v>62</v>
      </c>
      <c r="C172">
        <v>50116</v>
      </c>
      <c r="D172" t="s">
        <v>22</v>
      </c>
      <c r="E172" s="3">
        <v>1006.533185134272</v>
      </c>
      <c r="F172" s="3">
        <v>-642.34939985798553</v>
      </c>
      <c r="G172" s="3">
        <v>-1127.078556177079</v>
      </c>
      <c r="H172">
        <v>8</v>
      </c>
      <c r="I172" t="s">
        <v>23</v>
      </c>
      <c r="J172" t="s">
        <v>18</v>
      </c>
    </row>
    <row r="173" spans="1:10" x14ac:dyDescent="0.3">
      <c r="A173">
        <v>171</v>
      </c>
      <c r="B173" t="s">
        <v>62</v>
      </c>
      <c r="C173">
        <v>50121</v>
      </c>
      <c r="D173" t="s">
        <v>24</v>
      </c>
      <c r="E173" s="3">
        <v>634.74392951380264</v>
      </c>
      <c r="F173" s="3">
        <v>-100.3697351006911</v>
      </c>
      <c r="G173" s="3">
        <v>98.909755782805348</v>
      </c>
      <c r="H173">
        <v>8</v>
      </c>
      <c r="I173" t="s">
        <v>23</v>
      </c>
      <c r="J173" t="s">
        <v>18</v>
      </c>
    </row>
    <row r="174" spans="1:10" x14ac:dyDescent="0.3">
      <c r="A174">
        <v>172</v>
      </c>
      <c r="B174" t="s">
        <v>62</v>
      </c>
      <c r="C174">
        <v>50013</v>
      </c>
      <c r="D174" t="s">
        <v>25</v>
      </c>
      <c r="E174" s="3">
        <v>279.98954387267082</v>
      </c>
      <c r="F174" s="3">
        <v>5.9787624439070077</v>
      </c>
      <c r="G174" s="3">
        <v>202.7497800598143</v>
      </c>
      <c r="H174">
        <v>8</v>
      </c>
      <c r="I174" t="s">
        <v>23</v>
      </c>
      <c r="J174" t="s">
        <v>18</v>
      </c>
    </row>
    <row r="175" spans="1:10" x14ac:dyDescent="0.3">
      <c r="A175">
        <v>173</v>
      </c>
      <c r="B175" t="s">
        <v>62</v>
      </c>
      <c r="C175">
        <v>50034</v>
      </c>
      <c r="D175" t="s">
        <v>26</v>
      </c>
      <c r="E175" s="3">
        <v>756.23569296444396</v>
      </c>
      <c r="F175" s="3">
        <v>-105.12634247924839</v>
      </c>
      <c r="G175" s="3">
        <v>-663.1055323573994</v>
      </c>
      <c r="H175">
        <v>8</v>
      </c>
      <c r="I175" t="s">
        <v>23</v>
      </c>
      <c r="J175" t="s">
        <v>18</v>
      </c>
    </row>
    <row r="176" spans="1:10" x14ac:dyDescent="0.3">
      <c r="A176">
        <v>174</v>
      </c>
      <c r="B176" t="s">
        <v>62</v>
      </c>
      <c r="C176">
        <v>50037</v>
      </c>
      <c r="D176" t="s">
        <v>27</v>
      </c>
      <c r="E176" s="3">
        <v>32.130523304561123</v>
      </c>
      <c r="F176" s="3">
        <v>-101.356010812721</v>
      </c>
      <c r="G176" s="3">
        <v>-387.31709776463663</v>
      </c>
      <c r="H176">
        <v>8</v>
      </c>
      <c r="I176" t="s">
        <v>23</v>
      </c>
      <c r="J176" t="s">
        <v>18</v>
      </c>
    </row>
    <row r="177" spans="1:10" x14ac:dyDescent="0.3">
      <c r="A177">
        <v>176</v>
      </c>
      <c r="B177" t="s">
        <v>62</v>
      </c>
      <c r="C177">
        <v>50004</v>
      </c>
      <c r="D177" t="s">
        <v>29</v>
      </c>
      <c r="E177" s="3">
        <v>1041.0092577055441</v>
      </c>
      <c r="F177" s="3">
        <v>-529.98101980409717</v>
      </c>
      <c r="G177" s="3">
        <v>-1098.2180539552669</v>
      </c>
      <c r="H177">
        <v>8</v>
      </c>
      <c r="I177" t="s">
        <v>23</v>
      </c>
      <c r="J177" t="s">
        <v>18</v>
      </c>
    </row>
    <row r="178" spans="1:10" x14ac:dyDescent="0.3">
      <c r="A178">
        <v>175</v>
      </c>
      <c r="B178" t="s">
        <v>62</v>
      </c>
      <c r="C178">
        <v>50042</v>
      </c>
      <c r="D178" t="s">
        <v>28</v>
      </c>
      <c r="E178" s="3">
        <v>1082.040132552487</v>
      </c>
      <c r="F178" s="3">
        <v>-105.58865422263609</v>
      </c>
      <c r="G178" s="3">
        <v>-354.24852265861801</v>
      </c>
      <c r="H178">
        <v>8</v>
      </c>
      <c r="I178" t="s">
        <v>23</v>
      </c>
      <c r="J178" t="s">
        <v>18</v>
      </c>
    </row>
    <row r="179" spans="1:10" x14ac:dyDescent="0.3">
      <c r="A179">
        <v>177</v>
      </c>
      <c r="B179" t="s">
        <v>62</v>
      </c>
      <c r="C179">
        <v>50506</v>
      </c>
      <c r="D179" t="s">
        <v>30</v>
      </c>
      <c r="E179" s="3">
        <v>1147.654511666949</v>
      </c>
      <c r="F179" s="3">
        <v>-33.856339863902377</v>
      </c>
      <c r="G179" s="3">
        <v>-459.21624216825302</v>
      </c>
      <c r="H179">
        <v>8</v>
      </c>
      <c r="I179" t="s">
        <v>23</v>
      </c>
      <c r="J179" t="s">
        <v>18</v>
      </c>
    </row>
    <row r="180" spans="1:10" x14ac:dyDescent="0.3">
      <c r="A180">
        <v>178</v>
      </c>
      <c r="B180" t="s">
        <v>62</v>
      </c>
      <c r="C180">
        <v>50507</v>
      </c>
      <c r="D180" t="s">
        <v>31</v>
      </c>
      <c r="E180" s="3">
        <v>674.8889900237715</v>
      </c>
      <c r="F180" s="3">
        <v>-42.443682178893837</v>
      </c>
      <c r="G180" s="3">
        <v>-1091.802320422358</v>
      </c>
      <c r="H180">
        <v>8</v>
      </c>
      <c r="I180" t="s">
        <v>23</v>
      </c>
      <c r="J180" t="s">
        <v>18</v>
      </c>
    </row>
    <row r="181" spans="1:10" x14ac:dyDescent="0.3">
      <c r="A181">
        <v>179</v>
      </c>
      <c r="B181" t="s">
        <v>62</v>
      </c>
      <c r="C181">
        <v>50509</v>
      </c>
      <c r="D181" t="s">
        <v>32</v>
      </c>
      <c r="E181" s="3">
        <v>485.98819694350641</v>
      </c>
      <c r="F181" s="3">
        <v>-397.16521275372708</v>
      </c>
      <c r="G181" s="3">
        <v>445.93729560290473</v>
      </c>
      <c r="H181">
        <v>8</v>
      </c>
      <c r="I181" t="s">
        <v>23</v>
      </c>
      <c r="J181" t="s">
        <v>18</v>
      </c>
    </row>
    <row r="182" spans="1:10" x14ac:dyDescent="0.3">
      <c r="A182">
        <v>180</v>
      </c>
      <c r="B182" t="s">
        <v>62</v>
      </c>
      <c r="C182">
        <v>50057</v>
      </c>
      <c r="D182" t="s">
        <v>33</v>
      </c>
      <c r="E182" s="3">
        <v>380.74868602711501</v>
      </c>
      <c r="F182" s="3">
        <v>-100.94046322131371</v>
      </c>
      <c r="G182" s="3">
        <v>-129.07118118011411</v>
      </c>
      <c r="H182">
        <v>8</v>
      </c>
      <c r="I182" t="s">
        <v>23</v>
      </c>
      <c r="J182" t="s">
        <v>18</v>
      </c>
    </row>
    <row r="183" spans="1:10" x14ac:dyDescent="0.3">
      <c r="A183">
        <v>181</v>
      </c>
      <c r="B183" t="s">
        <v>62</v>
      </c>
      <c r="C183">
        <v>50087</v>
      </c>
      <c r="D183" t="s">
        <v>34</v>
      </c>
      <c r="E183" s="3">
        <v>1193.2695779225421</v>
      </c>
      <c r="F183" s="3">
        <v>-647.97066850341753</v>
      </c>
      <c r="G183" s="3">
        <v>-967.16488629538844</v>
      </c>
      <c r="H183">
        <v>8</v>
      </c>
      <c r="I183" t="s">
        <v>23</v>
      </c>
      <c r="J183" t="s">
        <v>18</v>
      </c>
    </row>
    <row r="184" spans="1:10" x14ac:dyDescent="0.3">
      <c r="A184">
        <v>182</v>
      </c>
      <c r="B184" t="s">
        <v>62</v>
      </c>
      <c r="C184">
        <v>50092</v>
      </c>
      <c r="D184" t="s">
        <v>35</v>
      </c>
      <c r="E184" s="3">
        <v>530.79527587406346</v>
      </c>
      <c r="F184" s="3">
        <v>-105.8196781846414</v>
      </c>
      <c r="G184" s="3">
        <v>-859.36321618642785</v>
      </c>
      <c r="H184">
        <v>8</v>
      </c>
      <c r="I184" t="s">
        <v>23</v>
      </c>
      <c r="J184" t="s">
        <v>18</v>
      </c>
    </row>
    <row r="185" spans="1:10" x14ac:dyDescent="0.3">
      <c r="A185">
        <v>183</v>
      </c>
      <c r="B185" t="s">
        <v>62</v>
      </c>
      <c r="C185">
        <v>50096</v>
      </c>
      <c r="D185" t="s">
        <v>36</v>
      </c>
      <c r="E185" s="3">
        <v>424.95994877556319</v>
      </c>
      <c r="F185" s="3">
        <v>6.2568005313602502</v>
      </c>
      <c r="G185" s="3">
        <v>305.83375130866227</v>
      </c>
      <c r="H185">
        <v>8</v>
      </c>
      <c r="I185" t="s">
        <v>23</v>
      </c>
      <c r="J185" t="s">
        <v>18</v>
      </c>
    </row>
    <row r="186" spans="1:10" x14ac:dyDescent="0.3">
      <c r="A186">
        <v>189</v>
      </c>
      <c r="B186" t="s">
        <v>63</v>
      </c>
      <c r="C186">
        <v>51008</v>
      </c>
      <c r="D186" t="s">
        <v>16</v>
      </c>
      <c r="E186" s="3">
        <v>575.66978264430441</v>
      </c>
      <c r="F186" s="3">
        <v>-53.298578113305759</v>
      </c>
      <c r="G186" s="3">
        <v>347.36152693410833</v>
      </c>
      <c r="H186">
        <v>9</v>
      </c>
      <c r="I186" t="s">
        <v>17</v>
      </c>
      <c r="J186" t="s">
        <v>18</v>
      </c>
    </row>
    <row r="187" spans="1:10" x14ac:dyDescent="0.3">
      <c r="A187">
        <v>190</v>
      </c>
      <c r="B187" t="s">
        <v>63</v>
      </c>
      <c r="C187">
        <v>51011</v>
      </c>
      <c r="D187" t="s">
        <v>19</v>
      </c>
      <c r="E187" s="3">
        <v>1296.716454963846</v>
      </c>
      <c r="F187" s="3">
        <v>-44.54156126320958</v>
      </c>
      <c r="G187" s="3">
        <v>-489.33615541894608</v>
      </c>
      <c r="H187">
        <v>9</v>
      </c>
      <c r="I187" t="s">
        <v>17</v>
      </c>
      <c r="J187" t="s">
        <v>18</v>
      </c>
    </row>
    <row r="188" spans="1:10" x14ac:dyDescent="0.3">
      <c r="A188">
        <v>191</v>
      </c>
      <c r="B188" t="s">
        <v>63</v>
      </c>
      <c r="C188">
        <v>51024</v>
      </c>
      <c r="D188" t="s">
        <v>20</v>
      </c>
      <c r="E188" s="3">
        <v>604.60389896760398</v>
      </c>
      <c r="F188" s="3">
        <v>-43.750728822215521</v>
      </c>
      <c r="G188" s="3">
        <v>-1114.9503843578821</v>
      </c>
      <c r="H188">
        <v>9</v>
      </c>
      <c r="I188" t="s">
        <v>17</v>
      </c>
      <c r="J188" t="s">
        <v>18</v>
      </c>
    </row>
    <row r="189" spans="1:10" x14ac:dyDescent="0.3">
      <c r="A189">
        <v>192</v>
      </c>
      <c r="B189" t="s">
        <v>63</v>
      </c>
      <c r="C189">
        <v>51003</v>
      </c>
      <c r="D189" t="s">
        <v>21</v>
      </c>
      <c r="E189" s="3">
        <v>-115.6390892939861</v>
      </c>
      <c r="F189" s="3">
        <v>-52.189662226197591</v>
      </c>
      <c r="G189" s="3">
        <v>-283.08147217913711</v>
      </c>
      <c r="H189">
        <v>9</v>
      </c>
      <c r="I189" t="s">
        <v>17</v>
      </c>
      <c r="J189" t="s">
        <v>18</v>
      </c>
    </row>
    <row r="190" spans="1:10" x14ac:dyDescent="0.3">
      <c r="A190">
        <v>184</v>
      </c>
      <c r="B190" t="s">
        <v>63</v>
      </c>
      <c r="C190">
        <v>501</v>
      </c>
      <c r="D190" t="s">
        <v>10</v>
      </c>
      <c r="E190" s="3">
        <v>-0.14779999999999999</v>
      </c>
      <c r="F190" s="3">
        <v>-0.91820000000000002</v>
      </c>
      <c r="G190" s="3">
        <v>-0.1129</v>
      </c>
      <c r="H190">
        <v>9</v>
      </c>
      <c r="I190" t="s">
        <v>11</v>
      </c>
    </row>
    <row r="191" spans="1:10" x14ac:dyDescent="0.3">
      <c r="A191">
        <v>185</v>
      </c>
      <c r="B191" t="s">
        <v>63</v>
      </c>
      <c r="C191">
        <v>502</v>
      </c>
      <c r="D191" t="s">
        <v>12</v>
      </c>
      <c r="E191" s="3">
        <v>172.00309999999999</v>
      </c>
      <c r="F191" s="3">
        <v>-0.15670000000000001</v>
      </c>
      <c r="G191" s="3">
        <v>-175.39689999999999</v>
      </c>
      <c r="H191">
        <v>9</v>
      </c>
      <c r="I191" t="s">
        <v>11</v>
      </c>
    </row>
    <row r="192" spans="1:10" x14ac:dyDescent="0.3">
      <c r="A192">
        <v>186</v>
      </c>
      <c r="B192" t="s">
        <v>63</v>
      </c>
      <c r="C192">
        <v>503</v>
      </c>
      <c r="D192" t="s">
        <v>13</v>
      </c>
      <c r="E192" s="3">
        <v>170.5735</v>
      </c>
      <c r="F192" s="3">
        <v>-1.1456999999999999</v>
      </c>
      <c r="G192" s="3">
        <v>-1.0931</v>
      </c>
      <c r="H192">
        <v>9</v>
      </c>
      <c r="I192" t="s">
        <v>11</v>
      </c>
    </row>
    <row r="193" spans="1:10" x14ac:dyDescent="0.3">
      <c r="A193">
        <v>187</v>
      </c>
      <c r="B193" t="s">
        <v>63</v>
      </c>
      <c r="C193">
        <v>504</v>
      </c>
      <c r="D193" t="s">
        <v>14</v>
      </c>
      <c r="E193" s="3">
        <v>346.33370000000002</v>
      </c>
      <c r="F193" s="3">
        <v>-0.11310000000000001</v>
      </c>
      <c r="G193" s="3">
        <v>-8.6400000000000005E-2</v>
      </c>
      <c r="H193">
        <v>9</v>
      </c>
      <c r="I193" t="s">
        <v>11</v>
      </c>
    </row>
    <row r="194" spans="1:10" x14ac:dyDescent="0.3">
      <c r="A194">
        <v>188</v>
      </c>
      <c r="B194" t="s">
        <v>63</v>
      </c>
      <c r="C194">
        <v>505</v>
      </c>
      <c r="D194" t="s">
        <v>15</v>
      </c>
      <c r="E194" s="3">
        <v>169.74</v>
      </c>
      <c r="F194" s="3">
        <v>-0.87009999999999998</v>
      </c>
      <c r="G194" s="3">
        <v>175.0402</v>
      </c>
      <c r="H194">
        <v>9</v>
      </c>
      <c r="I194" t="s">
        <v>11</v>
      </c>
    </row>
    <row r="195" spans="1:10" x14ac:dyDescent="0.3">
      <c r="A195">
        <v>193</v>
      </c>
      <c r="B195" t="s">
        <v>63</v>
      </c>
      <c r="C195">
        <v>50116</v>
      </c>
      <c r="D195" t="s">
        <v>22</v>
      </c>
      <c r="E195" s="3">
        <v>1013.032421611746</v>
      </c>
      <c r="F195" s="3">
        <v>-622.85326897348762</v>
      </c>
      <c r="G195" s="3">
        <v>-1136.2822064253321</v>
      </c>
      <c r="H195">
        <v>9</v>
      </c>
      <c r="I195" t="s">
        <v>23</v>
      </c>
      <c r="J195" t="s">
        <v>18</v>
      </c>
    </row>
    <row r="196" spans="1:10" x14ac:dyDescent="0.3">
      <c r="A196">
        <v>194</v>
      </c>
      <c r="B196" t="s">
        <v>63</v>
      </c>
      <c r="C196">
        <v>50121</v>
      </c>
      <c r="D196" t="s">
        <v>24</v>
      </c>
      <c r="E196" s="3">
        <v>635.42124003083313</v>
      </c>
      <c r="F196" s="3">
        <v>-99.487685305784709</v>
      </c>
      <c r="G196" s="3">
        <v>95.998122901048006</v>
      </c>
      <c r="H196">
        <v>9</v>
      </c>
      <c r="I196" t="s">
        <v>23</v>
      </c>
      <c r="J196" t="s">
        <v>18</v>
      </c>
    </row>
    <row r="197" spans="1:10" x14ac:dyDescent="0.3">
      <c r="A197">
        <v>195</v>
      </c>
      <c r="B197" t="s">
        <v>63</v>
      </c>
      <c r="C197">
        <v>50013</v>
      </c>
      <c r="D197" t="s">
        <v>25</v>
      </c>
      <c r="E197" s="3">
        <v>279.68074930301032</v>
      </c>
      <c r="F197" s="3">
        <v>2.5840542431088811</v>
      </c>
      <c r="G197" s="3">
        <v>200.75255452878741</v>
      </c>
      <c r="H197">
        <v>9</v>
      </c>
      <c r="I197" t="s">
        <v>23</v>
      </c>
      <c r="J197" t="s">
        <v>18</v>
      </c>
    </row>
    <row r="198" spans="1:10" x14ac:dyDescent="0.3">
      <c r="A198">
        <v>196</v>
      </c>
      <c r="B198" t="s">
        <v>63</v>
      </c>
      <c r="C198">
        <v>50034</v>
      </c>
      <c r="D198" t="s">
        <v>26</v>
      </c>
      <c r="E198" s="3">
        <v>757.76383655318693</v>
      </c>
      <c r="F198" s="3">
        <v>-93.625675102226779</v>
      </c>
      <c r="G198" s="3">
        <v>-665.87332240455055</v>
      </c>
      <c r="H198">
        <v>9</v>
      </c>
      <c r="I198" t="s">
        <v>23</v>
      </c>
      <c r="J198" t="s">
        <v>18</v>
      </c>
    </row>
    <row r="199" spans="1:10" x14ac:dyDescent="0.3">
      <c r="A199">
        <v>197</v>
      </c>
      <c r="B199" t="s">
        <v>63</v>
      </c>
      <c r="C199">
        <v>50037</v>
      </c>
      <c r="D199" t="s">
        <v>27</v>
      </c>
      <c r="E199" s="3">
        <v>33.357710144527509</v>
      </c>
      <c r="F199" s="3">
        <v>-99.365182081947111</v>
      </c>
      <c r="G199" s="3">
        <v>-390.91042515220983</v>
      </c>
      <c r="H199">
        <v>9</v>
      </c>
      <c r="I199" t="s">
        <v>23</v>
      </c>
      <c r="J199" t="s">
        <v>18</v>
      </c>
    </row>
    <row r="200" spans="1:10" x14ac:dyDescent="0.3">
      <c r="A200">
        <v>199</v>
      </c>
      <c r="B200" t="s">
        <v>63</v>
      </c>
      <c r="C200">
        <v>50004</v>
      </c>
      <c r="D200" t="s">
        <v>29</v>
      </c>
      <c r="E200" s="3">
        <v>1046.538607636491</v>
      </c>
      <c r="F200" s="3">
        <v>-510.57429361855628</v>
      </c>
      <c r="G200" s="3">
        <v>-1105.968048088147</v>
      </c>
      <c r="H200">
        <v>9</v>
      </c>
      <c r="I200" t="s">
        <v>23</v>
      </c>
      <c r="J200" t="s">
        <v>18</v>
      </c>
    </row>
    <row r="201" spans="1:10" x14ac:dyDescent="0.3">
      <c r="A201">
        <v>198</v>
      </c>
      <c r="B201" t="s">
        <v>63</v>
      </c>
      <c r="C201">
        <v>50042</v>
      </c>
      <c r="D201" t="s">
        <v>28</v>
      </c>
      <c r="E201" s="3">
        <v>1083.2300920451171</v>
      </c>
      <c r="F201" s="3">
        <v>-95.266920824257525</v>
      </c>
      <c r="G201" s="3">
        <v>-356.66397281104082</v>
      </c>
      <c r="H201">
        <v>9</v>
      </c>
      <c r="I201" t="s">
        <v>23</v>
      </c>
      <c r="J201" t="s">
        <v>18</v>
      </c>
    </row>
    <row r="202" spans="1:10" x14ac:dyDescent="0.3">
      <c r="A202">
        <v>200</v>
      </c>
      <c r="B202" t="s">
        <v>63</v>
      </c>
      <c r="C202">
        <v>50506</v>
      </c>
      <c r="D202" t="s">
        <v>30</v>
      </c>
      <c r="E202" s="3">
        <v>1148.355825367662</v>
      </c>
      <c r="F202" s="3">
        <v>-21.67292224218912</v>
      </c>
      <c r="G202" s="3">
        <v>-460.64260542752243</v>
      </c>
      <c r="H202">
        <v>9</v>
      </c>
      <c r="I202" t="s">
        <v>23</v>
      </c>
      <c r="J202" t="s">
        <v>18</v>
      </c>
    </row>
    <row r="203" spans="1:10" x14ac:dyDescent="0.3">
      <c r="A203">
        <v>201</v>
      </c>
      <c r="B203" t="s">
        <v>63</v>
      </c>
      <c r="C203">
        <v>50507</v>
      </c>
      <c r="D203" t="s">
        <v>31</v>
      </c>
      <c r="E203" s="3">
        <v>676.35563906631876</v>
      </c>
      <c r="F203" s="3">
        <v>-26.223809041407751</v>
      </c>
      <c r="G203" s="3">
        <v>-1093.8418164696141</v>
      </c>
      <c r="H203">
        <v>9</v>
      </c>
      <c r="I203" t="s">
        <v>23</v>
      </c>
      <c r="J203" t="s">
        <v>18</v>
      </c>
    </row>
    <row r="204" spans="1:10" x14ac:dyDescent="0.3">
      <c r="A204">
        <v>202</v>
      </c>
      <c r="B204" t="s">
        <v>63</v>
      </c>
      <c r="C204">
        <v>50509</v>
      </c>
      <c r="D204" t="s">
        <v>32</v>
      </c>
      <c r="E204" s="3">
        <v>488.77635550362629</v>
      </c>
      <c r="F204" s="3">
        <v>-401.86321745817668</v>
      </c>
      <c r="G204" s="3">
        <v>439.08448567137123</v>
      </c>
      <c r="H204">
        <v>9</v>
      </c>
      <c r="I204" t="s">
        <v>23</v>
      </c>
      <c r="J204" t="s">
        <v>18</v>
      </c>
    </row>
    <row r="205" spans="1:10" x14ac:dyDescent="0.3">
      <c r="A205">
        <v>203</v>
      </c>
      <c r="B205" t="s">
        <v>63</v>
      </c>
      <c r="C205">
        <v>50057</v>
      </c>
      <c r="D205" t="s">
        <v>33</v>
      </c>
      <c r="E205" s="3">
        <v>381.68371416111</v>
      </c>
      <c r="F205" s="3">
        <v>-99.300599872018068</v>
      </c>
      <c r="G205" s="3">
        <v>-132.27024991369839</v>
      </c>
      <c r="H205">
        <v>9</v>
      </c>
      <c r="I205" t="s">
        <v>23</v>
      </c>
      <c r="J205" t="s">
        <v>18</v>
      </c>
    </row>
    <row r="206" spans="1:10" x14ac:dyDescent="0.3">
      <c r="A206">
        <v>204</v>
      </c>
      <c r="B206" t="s">
        <v>63</v>
      </c>
      <c r="C206">
        <v>50087</v>
      </c>
      <c r="D206" t="s">
        <v>34</v>
      </c>
      <c r="E206" s="3">
        <v>1199.637992734617</v>
      </c>
      <c r="F206" s="3">
        <v>-628.93396109154094</v>
      </c>
      <c r="G206" s="3">
        <v>-976.23269259582071</v>
      </c>
      <c r="H206">
        <v>9</v>
      </c>
      <c r="I206" t="s">
        <v>23</v>
      </c>
      <c r="J206" t="s">
        <v>18</v>
      </c>
    </row>
    <row r="207" spans="1:10" x14ac:dyDescent="0.3">
      <c r="A207">
        <v>205</v>
      </c>
      <c r="B207" t="s">
        <v>63</v>
      </c>
      <c r="C207">
        <v>50092</v>
      </c>
      <c r="D207" t="s">
        <v>35</v>
      </c>
      <c r="E207" s="3">
        <v>532.54720230631915</v>
      </c>
      <c r="F207" s="3">
        <v>-93.723179282074469</v>
      </c>
      <c r="G207" s="3">
        <v>-862.38896805564752</v>
      </c>
      <c r="H207">
        <v>9</v>
      </c>
      <c r="I207" t="s">
        <v>23</v>
      </c>
      <c r="J207" t="s">
        <v>18</v>
      </c>
    </row>
    <row r="208" spans="1:10" x14ac:dyDescent="0.3">
      <c r="A208">
        <v>206</v>
      </c>
      <c r="B208" t="s">
        <v>63</v>
      </c>
      <c r="C208">
        <v>50096</v>
      </c>
      <c r="D208" t="s">
        <v>36</v>
      </c>
      <c r="E208" s="3">
        <v>424.53339144447938</v>
      </c>
      <c r="F208" s="3">
        <v>2.770411871636115</v>
      </c>
      <c r="G208" s="3">
        <v>304.00214565044661</v>
      </c>
      <c r="H208">
        <v>9</v>
      </c>
      <c r="I208" t="s">
        <v>23</v>
      </c>
      <c r="J208" t="s">
        <v>18</v>
      </c>
    </row>
    <row r="209" spans="1:10" x14ac:dyDescent="0.3">
      <c r="A209">
        <v>212</v>
      </c>
      <c r="B209" t="s">
        <v>64</v>
      </c>
      <c r="C209">
        <v>51008</v>
      </c>
      <c r="D209" t="s">
        <v>16</v>
      </c>
      <c r="E209" s="3">
        <v>575.42184519976126</v>
      </c>
      <c r="F209" s="3">
        <v>-53.151488282530082</v>
      </c>
      <c r="G209" s="3">
        <v>348.18971387478081</v>
      </c>
      <c r="H209">
        <v>10</v>
      </c>
      <c r="I209" t="s">
        <v>17</v>
      </c>
      <c r="J209" t="s">
        <v>18</v>
      </c>
    </row>
    <row r="210" spans="1:10" x14ac:dyDescent="0.3">
      <c r="A210">
        <v>213</v>
      </c>
      <c r="B210" t="s">
        <v>64</v>
      </c>
      <c r="C210">
        <v>51011</v>
      </c>
      <c r="D210" t="s">
        <v>19</v>
      </c>
      <c r="E210" s="3">
        <v>1296.2493571890329</v>
      </c>
      <c r="F210" s="3">
        <v>-49.766368464397033</v>
      </c>
      <c r="G210" s="3">
        <v>-488.73575448267229</v>
      </c>
      <c r="H210">
        <v>10</v>
      </c>
      <c r="I210" t="s">
        <v>17</v>
      </c>
      <c r="J210" t="s">
        <v>18</v>
      </c>
    </row>
    <row r="211" spans="1:10" x14ac:dyDescent="0.3">
      <c r="A211">
        <v>214</v>
      </c>
      <c r="B211" t="s">
        <v>64</v>
      </c>
      <c r="C211">
        <v>51024</v>
      </c>
      <c r="D211" t="s">
        <v>20</v>
      </c>
      <c r="E211" s="3">
        <v>603.95964050927887</v>
      </c>
      <c r="F211" s="3">
        <v>-47.76271034673622</v>
      </c>
      <c r="G211" s="3">
        <v>-1114.1512264435701</v>
      </c>
      <c r="H211">
        <v>10</v>
      </c>
      <c r="I211" t="s">
        <v>17</v>
      </c>
      <c r="J211" t="s">
        <v>18</v>
      </c>
    </row>
    <row r="212" spans="1:10" x14ac:dyDescent="0.3">
      <c r="A212">
        <v>215</v>
      </c>
      <c r="B212" t="s">
        <v>64</v>
      </c>
      <c r="C212">
        <v>51003</v>
      </c>
      <c r="D212" t="s">
        <v>21</v>
      </c>
      <c r="E212" s="3">
        <v>-116.06428571392669</v>
      </c>
      <c r="F212" s="3">
        <v>-50.846491897412108</v>
      </c>
      <c r="G212" s="3">
        <v>-282.05561850906332</v>
      </c>
      <c r="H212">
        <v>10</v>
      </c>
      <c r="I212" t="s">
        <v>17</v>
      </c>
      <c r="J212" t="s">
        <v>18</v>
      </c>
    </row>
    <row r="213" spans="1:10" x14ac:dyDescent="0.3">
      <c r="A213">
        <v>207</v>
      </c>
      <c r="B213" t="s">
        <v>64</v>
      </c>
      <c r="C213">
        <v>501</v>
      </c>
      <c r="D213" t="s">
        <v>10</v>
      </c>
      <c r="E213" s="3">
        <v>-0.26750000000000002</v>
      </c>
      <c r="F213" s="3">
        <v>0.71179999999999999</v>
      </c>
      <c r="G213" s="3">
        <v>0.73799999999999999</v>
      </c>
      <c r="H213">
        <v>10</v>
      </c>
      <c r="I213" t="s">
        <v>11</v>
      </c>
    </row>
    <row r="214" spans="1:10" x14ac:dyDescent="0.3">
      <c r="A214">
        <v>208</v>
      </c>
      <c r="B214" t="s">
        <v>64</v>
      </c>
      <c r="C214">
        <v>502</v>
      </c>
      <c r="D214" t="s">
        <v>12</v>
      </c>
      <c r="E214" s="3">
        <v>171.83160000000001</v>
      </c>
      <c r="F214" s="3">
        <v>0.25829999999999997</v>
      </c>
      <c r="G214" s="3">
        <v>-174.59190000000001</v>
      </c>
      <c r="H214">
        <v>10</v>
      </c>
      <c r="I214" t="s">
        <v>11</v>
      </c>
    </row>
    <row r="215" spans="1:10" x14ac:dyDescent="0.3">
      <c r="A215">
        <v>209</v>
      </c>
      <c r="B215" t="s">
        <v>64</v>
      </c>
      <c r="C215">
        <v>503</v>
      </c>
      <c r="D215" t="s">
        <v>13</v>
      </c>
      <c r="E215" s="3">
        <v>170.4425</v>
      </c>
      <c r="F215" s="3">
        <v>-0.2286</v>
      </c>
      <c r="G215" s="3">
        <v>-0.28970000000000001</v>
      </c>
      <c r="H215">
        <v>10</v>
      </c>
      <c r="I215" t="s">
        <v>11</v>
      </c>
    </row>
    <row r="216" spans="1:10" x14ac:dyDescent="0.3">
      <c r="A216">
        <v>210</v>
      </c>
      <c r="B216" t="s">
        <v>64</v>
      </c>
      <c r="C216">
        <v>504</v>
      </c>
      <c r="D216" t="s">
        <v>14</v>
      </c>
      <c r="E216" s="3">
        <v>346.20569999999998</v>
      </c>
      <c r="F216" s="3">
        <v>4.5499999999999999E-2</v>
      </c>
      <c r="G216" s="3">
        <v>0.66049999999999998</v>
      </c>
      <c r="H216">
        <v>10</v>
      </c>
      <c r="I216" t="s">
        <v>11</v>
      </c>
    </row>
    <row r="217" spans="1:10" x14ac:dyDescent="0.3">
      <c r="A217">
        <v>211</v>
      </c>
      <c r="B217" t="s">
        <v>64</v>
      </c>
      <c r="C217">
        <v>505</v>
      </c>
      <c r="D217" t="s">
        <v>15</v>
      </c>
      <c r="E217" s="3">
        <v>169.6678</v>
      </c>
      <c r="F217" s="3">
        <v>0.52180000000000004</v>
      </c>
      <c r="G217" s="3">
        <v>175.834</v>
      </c>
      <c r="H217">
        <v>10</v>
      </c>
      <c r="I217" t="s">
        <v>11</v>
      </c>
    </row>
    <row r="218" spans="1:10" x14ac:dyDescent="0.3">
      <c r="A218">
        <v>216</v>
      </c>
      <c r="B218" t="s">
        <v>64</v>
      </c>
      <c r="C218">
        <v>50116</v>
      </c>
      <c r="D218" t="s">
        <v>22</v>
      </c>
      <c r="E218" s="3">
        <v>1009.918977013034</v>
      </c>
      <c r="F218" s="3">
        <v>-628.65139022704966</v>
      </c>
      <c r="G218" s="3">
        <v>-1134.001048709451</v>
      </c>
      <c r="H218">
        <v>10</v>
      </c>
      <c r="I218" t="s">
        <v>23</v>
      </c>
      <c r="J218" t="s">
        <v>18</v>
      </c>
    </row>
    <row r="219" spans="1:10" x14ac:dyDescent="0.3">
      <c r="A219">
        <v>217</v>
      </c>
      <c r="B219" t="s">
        <v>64</v>
      </c>
      <c r="C219">
        <v>50121</v>
      </c>
      <c r="D219" t="s">
        <v>24</v>
      </c>
      <c r="E219" s="3">
        <v>634.90157286351416</v>
      </c>
      <c r="F219" s="3">
        <v>-100.2875578052558</v>
      </c>
      <c r="G219" s="3">
        <v>96.937680814081915</v>
      </c>
      <c r="H219">
        <v>10</v>
      </c>
      <c r="I219" t="s">
        <v>23</v>
      </c>
      <c r="J219" t="s">
        <v>18</v>
      </c>
    </row>
    <row r="220" spans="1:10" x14ac:dyDescent="0.3">
      <c r="A220">
        <v>218</v>
      </c>
      <c r="B220" t="s">
        <v>64</v>
      </c>
      <c r="C220">
        <v>50013</v>
      </c>
      <c r="D220" t="s">
        <v>25</v>
      </c>
      <c r="E220" s="3">
        <v>279.62902211582087</v>
      </c>
      <c r="F220" s="3">
        <v>3.5829134920577048</v>
      </c>
      <c r="G220" s="3">
        <v>201.51190125660619</v>
      </c>
      <c r="H220">
        <v>10</v>
      </c>
      <c r="I220" t="s">
        <v>23</v>
      </c>
      <c r="J220" t="s">
        <v>18</v>
      </c>
    </row>
    <row r="221" spans="1:10" x14ac:dyDescent="0.3">
      <c r="A221">
        <v>219</v>
      </c>
      <c r="B221" t="s">
        <v>64</v>
      </c>
      <c r="C221">
        <v>50034</v>
      </c>
      <c r="D221" t="s">
        <v>26</v>
      </c>
      <c r="E221" s="3">
        <v>757.04048119155846</v>
      </c>
      <c r="F221" s="3">
        <v>-97.048046358591094</v>
      </c>
      <c r="G221" s="3">
        <v>-664.98210886034315</v>
      </c>
      <c r="H221">
        <v>10</v>
      </c>
      <c r="I221" t="s">
        <v>23</v>
      </c>
      <c r="J221" t="s">
        <v>18</v>
      </c>
    </row>
    <row r="222" spans="1:10" x14ac:dyDescent="0.3">
      <c r="A222">
        <v>220</v>
      </c>
      <c r="B222" t="s">
        <v>64</v>
      </c>
      <c r="C222">
        <v>50037</v>
      </c>
      <c r="D222" t="s">
        <v>27</v>
      </c>
      <c r="E222" s="3">
        <v>32.698641791484462</v>
      </c>
      <c r="F222" s="3">
        <v>-98.951844601156495</v>
      </c>
      <c r="G222" s="3">
        <v>-389.79662953605401</v>
      </c>
      <c r="H222">
        <v>10</v>
      </c>
      <c r="I222" t="s">
        <v>23</v>
      </c>
      <c r="J222" t="s">
        <v>18</v>
      </c>
    </row>
    <row r="223" spans="1:10" x14ac:dyDescent="0.3">
      <c r="A223">
        <v>222</v>
      </c>
      <c r="B223" t="s">
        <v>64</v>
      </c>
      <c r="C223">
        <v>50004</v>
      </c>
      <c r="D223" t="s">
        <v>29</v>
      </c>
      <c r="E223" s="3">
        <v>1043.9106947909829</v>
      </c>
      <c r="F223" s="3">
        <v>-516.43249518839389</v>
      </c>
      <c r="G223" s="3">
        <v>-1104.0066538467861</v>
      </c>
      <c r="H223">
        <v>10</v>
      </c>
      <c r="I223" t="s">
        <v>23</v>
      </c>
      <c r="J223" t="s">
        <v>18</v>
      </c>
    </row>
    <row r="224" spans="1:10" x14ac:dyDescent="0.3">
      <c r="A224">
        <v>221</v>
      </c>
      <c r="B224" t="s">
        <v>64</v>
      </c>
      <c r="C224">
        <v>50042</v>
      </c>
      <c r="D224" t="s">
        <v>28</v>
      </c>
      <c r="E224" s="3">
        <v>1082.589139075139</v>
      </c>
      <c r="F224" s="3">
        <v>-99.218168301568852</v>
      </c>
      <c r="G224" s="3">
        <v>-355.86277761680509</v>
      </c>
      <c r="H224">
        <v>10</v>
      </c>
      <c r="I224" t="s">
        <v>23</v>
      </c>
      <c r="J224" t="s">
        <v>18</v>
      </c>
    </row>
    <row r="225" spans="1:10" x14ac:dyDescent="0.3">
      <c r="A225">
        <v>223</v>
      </c>
      <c r="B225" t="s">
        <v>64</v>
      </c>
      <c r="C225">
        <v>50506</v>
      </c>
      <c r="D225" t="s">
        <v>30</v>
      </c>
      <c r="E225" s="3">
        <v>1147.995748884661</v>
      </c>
      <c r="F225" s="3">
        <v>-26.188704670430742</v>
      </c>
      <c r="G225" s="3">
        <v>-460.06290546635819</v>
      </c>
      <c r="H225">
        <v>10</v>
      </c>
      <c r="I225" t="s">
        <v>23</v>
      </c>
      <c r="J225" t="s">
        <v>18</v>
      </c>
    </row>
    <row r="226" spans="1:10" x14ac:dyDescent="0.3">
      <c r="A226">
        <v>224</v>
      </c>
      <c r="B226" t="s">
        <v>64</v>
      </c>
      <c r="C226">
        <v>50507</v>
      </c>
      <c r="D226" t="s">
        <v>31</v>
      </c>
      <c r="E226" s="3">
        <v>675.79145966127214</v>
      </c>
      <c r="F226" s="3">
        <v>-30.482501117950569</v>
      </c>
      <c r="G226" s="3">
        <v>-1093.111718635289</v>
      </c>
      <c r="H226">
        <v>10</v>
      </c>
      <c r="I226" t="s">
        <v>23</v>
      </c>
      <c r="J226" t="s">
        <v>18</v>
      </c>
    </row>
    <row r="227" spans="1:10" x14ac:dyDescent="0.3">
      <c r="A227">
        <v>225</v>
      </c>
      <c r="B227" t="s">
        <v>64</v>
      </c>
      <c r="C227">
        <v>50509</v>
      </c>
      <c r="D227" t="s">
        <v>32</v>
      </c>
      <c r="E227" s="3">
        <v>487.07643696913863</v>
      </c>
      <c r="F227" s="3">
        <v>-401.08943901616158</v>
      </c>
      <c r="G227" s="3">
        <v>440.89973450489151</v>
      </c>
      <c r="H227">
        <v>10</v>
      </c>
      <c r="I227" t="s">
        <v>23</v>
      </c>
      <c r="J227" t="s">
        <v>18</v>
      </c>
    </row>
    <row r="228" spans="1:10" x14ac:dyDescent="0.3">
      <c r="A228">
        <v>226</v>
      </c>
      <c r="B228" t="s">
        <v>64</v>
      </c>
      <c r="C228">
        <v>50057</v>
      </c>
      <c r="D228" t="s">
        <v>33</v>
      </c>
      <c r="E228" s="3">
        <v>381.09898628794048</v>
      </c>
      <c r="F228" s="3">
        <v>-99.652824831790383</v>
      </c>
      <c r="G228" s="3">
        <v>-131.25754530719519</v>
      </c>
      <c r="H228">
        <v>10</v>
      </c>
      <c r="I228" t="s">
        <v>23</v>
      </c>
      <c r="J228" t="s">
        <v>18</v>
      </c>
    </row>
    <row r="229" spans="1:10" x14ac:dyDescent="0.3">
      <c r="A229">
        <v>227</v>
      </c>
      <c r="B229" t="s">
        <v>64</v>
      </c>
      <c r="C229">
        <v>50087</v>
      </c>
      <c r="D229" t="s">
        <v>34</v>
      </c>
      <c r="E229" s="3">
        <v>1196.5448222008431</v>
      </c>
      <c r="F229" s="3">
        <v>-635.08281680047537</v>
      </c>
      <c r="G229" s="3">
        <v>-973.9888881467092</v>
      </c>
      <c r="H229">
        <v>10</v>
      </c>
      <c r="I229" t="s">
        <v>23</v>
      </c>
      <c r="J229" t="s">
        <v>18</v>
      </c>
    </row>
    <row r="230" spans="1:10" x14ac:dyDescent="0.3">
      <c r="A230">
        <v>228</v>
      </c>
      <c r="B230" t="s">
        <v>64</v>
      </c>
      <c r="C230">
        <v>50092</v>
      </c>
      <c r="D230" t="s">
        <v>35</v>
      </c>
      <c r="E230" s="3">
        <v>531.76679975649722</v>
      </c>
      <c r="F230" s="3">
        <v>-96.731395047731198</v>
      </c>
      <c r="G230" s="3">
        <v>-861.43212545199901</v>
      </c>
      <c r="H230">
        <v>10</v>
      </c>
      <c r="I230" t="s">
        <v>23</v>
      </c>
      <c r="J230" t="s">
        <v>18</v>
      </c>
    </row>
    <row r="231" spans="1:10" x14ac:dyDescent="0.3">
      <c r="A231">
        <v>229</v>
      </c>
      <c r="B231" t="s">
        <v>64</v>
      </c>
      <c r="C231">
        <v>50096</v>
      </c>
      <c r="D231" t="s">
        <v>36</v>
      </c>
      <c r="E231" s="3">
        <v>424.51197042200442</v>
      </c>
      <c r="F231" s="3">
        <v>3.4390199404173369</v>
      </c>
      <c r="G231" s="3">
        <v>304.71902947977492</v>
      </c>
      <c r="H231">
        <v>10</v>
      </c>
      <c r="I231" t="s">
        <v>23</v>
      </c>
      <c r="J231" t="s">
        <v>18</v>
      </c>
    </row>
    <row r="232" spans="1:10" x14ac:dyDescent="0.3">
      <c r="A232">
        <v>235</v>
      </c>
      <c r="B232" t="s">
        <v>65</v>
      </c>
      <c r="C232">
        <v>51008</v>
      </c>
      <c r="D232" t="s">
        <v>16</v>
      </c>
      <c r="E232" s="3">
        <v>575.70000551154328</v>
      </c>
      <c r="F232" s="3">
        <v>-53.807098195179186</v>
      </c>
      <c r="G232" s="3">
        <v>347.2229070789158</v>
      </c>
      <c r="H232">
        <v>11</v>
      </c>
      <c r="I232" t="s">
        <v>17</v>
      </c>
      <c r="J232" t="s">
        <v>18</v>
      </c>
    </row>
    <row r="233" spans="1:10" x14ac:dyDescent="0.3">
      <c r="A233">
        <v>236</v>
      </c>
      <c r="B233" t="s">
        <v>65</v>
      </c>
      <c r="C233">
        <v>51011</v>
      </c>
      <c r="D233" t="s">
        <v>19</v>
      </c>
      <c r="E233" s="3">
        <v>1296.7493517657781</v>
      </c>
      <c r="F233" s="3">
        <v>-46.575224612029309</v>
      </c>
      <c r="G233" s="3">
        <v>-489.48704322225569</v>
      </c>
      <c r="H233">
        <v>11</v>
      </c>
      <c r="I233" t="s">
        <v>17</v>
      </c>
      <c r="J233" t="s">
        <v>18</v>
      </c>
    </row>
    <row r="234" spans="1:10" x14ac:dyDescent="0.3">
      <c r="A234">
        <v>237</v>
      </c>
      <c r="B234" t="s">
        <v>65</v>
      </c>
      <c r="C234">
        <v>51024</v>
      </c>
      <c r="D234" t="s">
        <v>20</v>
      </c>
      <c r="E234" s="3">
        <v>604.62877061532379</v>
      </c>
      <c r="F234" s="3">
        <v>-44.075821576990343</v>
      </c>
      <c r="G234" s="3">
        <v>-1115.087900931775</v>
      </c>
      <c r="H234">
        <v>11</v>
      </c>
      <c r="I234" t="s">
        <v>17</v>
      </c>
      <c r="J234" t="s">
        <v>18</v>
      </c>
    </row>
    <row r="235" spans="1:10" x14ac:dyDescent="0.3">
      <c r="A235">
        <v>238</v>
      </c>
      <c r="B235" t="s">
        <v>65</v>
      </c>
      <c r="C235">
        <v>51003</v>
      </c>
      <c r="D235" t="s">
        <v>21</v>
      </c>
      <c r="E235" s="3">
        <v>-115.6162481011107</v>
      </c>
      <c r="F235" s="3">
        <v>-50.990645308984703</v>
      </c>
      <c r="G235" s="3">
        <v>-283.20668163821051</v>
      </c>
      <c r="H235">
        <v>11</v>
      </c>
      <c r="I235" t="s">
        <v>17</v>
      </c>
      <c r="J235" t="s">
        <v>18</v>
      </c>
    </row>
    <row r="236" spans="1:10" x14ac:dyDescent="0.3">
      <c r="A236">
        <v>230</v>
      </c>
      <c r="B236" t="s">
        <v>65</v>
      </c>
      <c r="C236">
        <v>501</v>
      </c>
      <c r="D236" t="s">
        <v>10</v>
      </c>
      <c r="E236" s="3">
        <v>1.0800000000000001E-2</v>
      </c>
      <c r="F236" s="3">
        <v>-5.74E-2</v>
      </c>
      <c r="G236" s="3">
        <v>-0.2404</v>
      </c>
      <c r="H236">
        <v>11</v>
      </c>
      <c r="I236" t="s">
        <v>11</v>
      </c>
    </row>
    <row r="237" spans="1:10" x14ac:dyDescent="0.3">
      <c r="A237">
        <v>231</v>
      </c>
      <c r="B237" t="s">
        <v>65</v>
      </c>
      <c r="C237">
        <v>502</v>
      </c>
      <c r="D237" t="s">
        <v>12</v>
      </c>
      <c r="E237" s="3">
        <v>172.14109999999999</v>
      </c>
      <c r="F237" s="3">
        <v>0.36609999999999998</v>
      </c>
      <c r="G237" s="3">
        <v>-175.51310000000001</v>
      </c>
      <c r="H237">
        <v>11</v>
      </c>
      <c r="I237" t="s">
        <v>11</v>
      </c>
    </row>
    <row r="238" spans="1:10" x14ac:dyDescent="0.3">
      <c r="A238">
        <v>232</v>
      </c>
      <c r="B238" t="s">
        <v>65</v>
      </c>
      <c r="C238">
        <v>503</v>
      </c>
      <c r="D238" t="s">
        <v>13</v>
      </c>
      <c r="E238" s="3">
        <v>170.71279999999999</v>
      </c>
      <c r="F238" s="3">
        <v>-0.62919999999999998</v>
      </c>
      <c r="G238" s="3">
        <v>-1.2098</v>
      </c>
      <c r="H238">
        <v>11</v>
      </c>
      <c r="I238" t="s">
        <v>11</v>
      </c>
    </row>
    <row r="239" spans="1:10" x14ac:dyDescent="0.3">
      <c r="A239">
        <v>233</v>
      </c>
      <c r="B239" t="s">
        <v>65</v>
      </c>
      <c r="C239">
        <v>504</v>
      </c>
      <c r="D239" t="s">
        <v>14</v>
      </c>
      <c r="E239" s="3">
        <v>346.47809999999998</v>
      </c>
      <c r="F239" s="3">
        <v>-5.3400000000000003E-2</v>
      </c>
      <c r="G239" s="3">
        <v>-0.2102</v>
      </c>
      <c r="H239">
        <v>11</v>
      </c>
      <c r="I239" t="s">
        <v>11</v>
      </c>
    </row>
    <row r="240" spans="1:10" x14ac:dyDescent="0.3">
      <c r="A240">
        <v>234</v>
      </c>
      <c r="B240" t="s">
        <v>65</v>
      </c>
      <c r="C240">
        <v>505</v>
      </c>
      <c r="D240" t="s">
        <v>15</v>
      </c>
      <c r="E240" s="3">
        <v>169.8929</v>
      </c>
      <c r="F240" s="3">
        <v>-0.40189999999999998</v>
      </c>
      <c r="G240" s="3">
        <v>174.91499999999999</v>
      </c>
      <c r="H240">
        <v>11</v>
      </c>
      <c r="I240" t="s">
        <v>11</v>
      </c>
    </row>
    <row r="241" spans="1:10" x14ac:dyDescent="0.3">
      <c r="A241">
        <v>239</v>
      </c>
      <c r="B241" t="s">
        <v>65</v>
      </c>
      <c r="C241">
        <v>50116</v>
      </c>
      <c r="D241" t="s">
        <v>22</v>
      </c>
      <c r="E241" s="3">
        <v>1011.715842638604</v>
      </c>
      <c r="F241" s="3">
        <v>-624.11819233504411</v>
      </c>
      <c r="G241" s="3">
        <v>-1136.5266664871631</v>
      </c>
      <c r="H241">
        <v>11</v>
      </c>
      <c r="I241" t="s">
        <v>23</v>
      </c>
      <c r="J241" t="s">
        <v>18</v>
      </c>
    </row>
    <row r="242" spans="1:10" x14ac:dyDescent="0.3">
      <c r="A242">
        <v>240</v>
      </c>
      <c r="B242" t="s">
        <v>65</v>
      </c>
      <c r="C242">
        <v>50121</v>
      </c>
      <c r="D242" t="s">
        <v>24</v>
      </c>
      <c r="E242" s="3">
        <v>635.33972406504449</v>
      </c>
      <c r="F242" s="3">
        <v>-100.0912941748476</v>
      </c>
      <c r="G242" s="3">
        <v>95.850457626882886</v>
      </c>
      <c r="H242">
        <v>11</v>
      </c>
      <c r="I242" t="s">
        <v>23</v>
      </c>
      <c r="J242" t="s">
        <v>18</v>
      </c>
    </row>
    <row r="243" spans="1:10" x14ac:dyDescent="0.3">
      <c r="A243">
        <v>241</v>
      </c>
      <c r="B243" t="s">
        <v>65</v>
      </c>
      <c r="C243">
        <v>50013</v>
      </c>
      <c r="D243" t="s">
        <v>25</v>
      </c>
      <c r="E243" s="3">
        <v>279.83832507701572</v>
      </c>
      <c r="F243" s="3">
        <v>2.7853627327997441</v>
      </c>
      <c r="G243" s="3">
        <v>200.62916006454731</v>
      </c>
      <c r="H243">
        <v>11</v>
      </c>
      <c r="I243" t="s">
        <v>23</v>
      </c>
      <c r="J243" t="s">
        <v>18</v>
      </c>
    </row>
    <row r="244" spans="1:10" x14ac:dyDescent="0.3">
      <c r="A244">
        <v>242</v>
      </c>
      <c r="B244" t="s">
        <v>65</v>
      </c>
      <c r="C244">
        <v>50034</v>
      </c>
      <c r="D244" t="s">
        <v>26</v>
      </c>
      <c r="E244" s="3">
        <v>757.68129903243209</v>
      </c>
      <c r="F244" s="3">
        <v>-94.381921361143156</v>
      </c>
      <c r="G244" s="3">
        <v>-666.02231085619746</v>
      </c>
      <c r="H244">
        <v>11</v>
      </c>
      <c r="I244" t="s">
        <v>23</v>
      </c>
      <c r="J244" t="s">
        <v>18</v>
      </c>
    </row>
    <row r="245" spans="1:10" x14ac:dyDescent="0.3">
      <c r="A245">
        <v>243</v>
      </c>
      <c r="B245" t="s">
        <v>65</v>
      </c>
      <c r="C245">
        <v>50037</v>
      </c>
      <c r="D245" t="s">
        <v>27</v>
      </c>
      <c r="E245" s="3">
        <v>33.268977308963201</v>
      </c>
      <c r="F245" s="3">
        <v>-98.492330025581339</v>
      </c>
      <c r="G245" s="3">
        <v>-391.04655654321277</v>
      </c>
      <c r="H245">
        <v>11</v>
      </c>
      <c r="I245" t="s">
        <v>23</v>
      </c>
      <c r="J245" t="s">
        <v>18</v>
      </c>
    </row>
    <row r="246" spans="1:10" x14ac:dyDescent="0.3">
      <c r="A246">
        <v>245</v>
      </c>
      <c r="B246" t="s">
        <v>65</v>
      </c>
      <c r="C246">
        <v>50004</v>
      </c>
      <c r="D246" t="s">
        <v>29</v>
      </c>
      <c r="E246" s="3">
        <v>1045.4823032831509</v>
      </c>
      <c r="F246" s="3">
        <v>-511.92223837530531</v>
      </c>
      <c r="G246" s="3">
        <v>-1106.193927491574</v>
      </c>
      <c r="H246">
        <v>11</v>
      </c>
      <c r="I246" t="s">
        <v>23</v>
      </c>
      <c r="J246" t="s">
        <v>18</v>
      </c>
    </row>
    <row r="247" spans="1:10" x14ac:dyDescent="0.3">
      <c r="A247">
        <v>244</v>
      </c>
      <c r="B247" t="s">
        <v>65</v>
      </c>
      <c r="C247">
        <v>50042</v>
      </c>
      <c r="D247" t="s">
        <v>28</v>
      </c>
      <c r="E247" s="3">
        <v>1083.14867222828</v>
      </c>
      <c r="F247" s="3">
        <v>-96.82919074257282</v>
      </c>
      <c r="G247" s="3">
        <v>-356.81946661787362</v>
      </c>
      <c r="H247">
        <v>11</v>
      </c>
      <c r="I247" t="s">
        <v>23</v>
      </c>
      <c r="J247" t="s">
        <v>18</v>
      </c>
    </row>
    <row r="248" spans="1:10" x14ac:dyDescent="0.3">
      <c r="A248">
        <v>246</v>
      </c>
      <c r="B248" t="s">
        <v>65</v>
      </c>
      <c r="C248">
        <v>50506</v>
      </c>
      <c r="D248" t="s">
        <v>30</v>
      </c>
      <c r="E248" s="3">
        <v>1148.442570992353</v>
      </c>
      <c r="F248" s="3">
        <v>-23.36827638080176</v>
      </c>
      <c r="G248" s="3">
        <v>-460.78674346116492</v>
      </c>
      <c r="H248">
        <v>11</v>
      </c>
      <c r="I248" t="s">
        <v>23</v>
      </c>
      <c r="J248" t="s">
        <v>18</v>
      </c>
    </row>
    <row r="249" spans="1:10" x14ac:dyDescent="0.3">
      <c r="A249">
        <v>247</v>
      </c>
      <c r="B249" t="s">
        <v>65</v>
      </c>
      <c r="C249">
        <v>50507</v>
      </c>
      <c r="D249" t="s">
        <v>31</v>
      </c>
      <c r="E249" s="3">
        <v>676.42126836714317</v>
      </c>
      <c r="F249" s="3">
        <v>-26.718586271553239</v>
      </c>
      <c r="G249" s="3">
        <v>-1093.9777040687261</v>
      </c>
      <c r="H249">
        <v>11</v>
      </c>
      <c r="I249" t="s">
        <v>23</v>
      </c>
      <c r="J249" t="s">
        <v>18</v>
      </c>
    </row>
    <row r="250" spans="1:10" x14ac:dyDescent="0.3">
      <c r="A250">
        <v>248</v>
      </c>
      <c r="B250" t="s">
        <v>65</v>
      </c>
      <c r="C250">
        <v>50509</v>
      </c>
      <c r="D250" t="s">
        <v>32</v>
      </c>
      <c r="E250" s="3">
        <v>488.00200028102142</v>
      </c>
      <c r="F250" s="3">
        <v>-402.18544741009651</v>
      </c>
      <c r="G250" s="3">
        <v>438.88785304118858</v>
      </c>
      <c r="H250">
        <v>11</v>
      </c>
      <c r="I250" t="s">
        <v>23</v>
      </c>
      <c r="J250" t="s">
        <v>18</v>
      </c>
    </row>
    <row r="251" spans="1:10" x14ac:dyDescent="0.3">
      <c r="A251">
        <v>249</v>
      </c>
      <c r="B251" t="s">
        <v>65</v>
      </c>
      <c r="C251">
        <v>50057</v>
      </c>
      <c r="D251" t="s">
        <v>33</v>
      </c>
      <c r="E251" s="3">
        <v>381.5990385010673</v>
      </c>
      <c r="F251" s="3">
        <v>-99.278010759483138</v>
      </c>
      <c r="G251" s="3">
        <v>-132.4130307424777</v>
      </c>
      <c r="H251">
        <v>11</v>
      </c>
      <c r="I251" t="s">
        <v>23</v>
      </c>
      <c r="J251" t="s">
        <v>18</v>
      </c>
    </row>
    <row r="252" spans="1:10" x14ac:dyDescent="0.3">
      <c r="A252">
        <v>250</v>
      </c>
      <c r="B252" t="s">
        <v>65</v>
      </c>
      <c r="C252">
        <v>50087</v>
      </c>
      <c r="D252" t="s">
        <v>34</v>
      </c>
      <c r="E252" s="3">
        <v>1198.3098395741499</v>
      </c>
      <c r="F252" s="3">
        <v>-630.65805172474222</v>
      </c>
      <c r="G252" s="3">
        <v>-976.48176211788734</v>
      </c>
      <c r="H252">
        <v>11</v>
      </c>
      <c r="I252" t="s">
        <v>23</v>
      </c>
      <c r="J252" t="s">
        <v>18</v>
      </c>
    </row>
    <row r="253" spans="1:10" x14ac:dyDescent="0.3">
      <c r="A253">
        <v>251</v>
      </c>
      <c r="B253" t="s">
        <v>65</v>
      </c>
      <c r="C253">
        <v>50092</v>
      </c>
      <c r="D253" t="s">
        <v>35</v>
      </c>
      <c r="E253" s="3">
        <v>532.46136446714445</v>
      </c>
      <c r="F253" s="3">
        <v>-93.924657092469388</v>
      </c>
      <c r="G253" s="3">
        <v>-862.53366629912398</v>
      </c>
      <c r="H253">
        <v>11</v>
      </c>
      <c r="I253" t="s">
        <v>23</v>
      </c>
      <c r="J253" t="s">
        <v>18</v>
      </c>
    </row>
    <row r="254" spans="1:10" x14ac:dyDescent="0.3">
      <c r="A254">
        <v>252</v>
      </c>
      <c r="B254" t="s">
        <v>65</v>
      </c>
      <c r="C254">
        <v>50096</v>
      </c>
      <c r="D254" t="s">
        <v>36</v>
      </c>
      <c r="E254" s="3">
        <v>424.69294287142338</v>
      </c>
      <c r="F254" s="3">
        <v>2.618872475156198</v>
      </c>
      <c r="G254" s="3">
        <v>303.87601336260292</v>
      </c>
      <c r="H254">
        <v>11</v>
      </c>
      <c r="I254" t="s">
        <v>23</v>
      </c>
      <c r="J254" t="s">
        <v>18</v>
      </c>
    </row>
    <row r="255" spans="1:10" x14ac:dyDescent="0.3">
      <c r="A255">
        <v>258</v>
      </c>
      <c r="B255" t="s">
        <v>66</v>
      </c>
      <c r="C255">
        <v>51008</v>
      </c>
      <c r="D255" t="s">
        <v>16</v>
      </c>
      <c r="E255" s="3">
        <v>575.4459998578435</v>
      </c>
      <c r="F255" s="3">
        <v>-53.260896665155897</v>
      </c>
      <c r="G255" s="3">
        <v>347.39474028561358</v>
      </c>
      <c r="H255">
        <v>12</v>
      </c>
      <c r="I255" t="s">
        <v>17</v>
      </c>
      <c r="J255" t="s">
        <v>18</v>
      </c>
    </row>
    <row r="256" spans="1:10" x14ac:dyDescent="0.3">
      <c r="A256">
        <v>259</v>
      </c>
      <c r="B256" t="s">
        <v>66</v>
      </c>
      <c r="C256">
        <v>51011</v>
      </c>
      <c r="D256" t="s">
        <v>19</v>
      </c>
      <c r="E256" s="3">
        <v>1296.766769969121</v>
      </c>
      <c r="F256" s="3">
        <v>-46.815876828375508</v>
      </c>
      <c r="G256" s="3">
        <v>-489.08766179320298</v>
      </c>
      <c r="H256">
        <v>12</v>
      </c>
      <c r="I256" t="s">
        <v>17</v>
      </c>
      <c r="J256" t="s">
        <v>18</v>
      </c>
    </row>
    <row r="257" spans="1:10" x14ac:dyDescent="0.3">
      <c r="A257">
        <v>260</v>
      </c>
      <c r="B257" t="s">
        <v>66</v>
      </c>
      <c r="C257">
        <v>51024</v>
      </c>
      <c r="D257" t="s">
        <v>20</v>
      </c>
      <c r="E257" s="3">
        <v>604.84768642363144</v>
      </c>
      <c r="F257" s="3">
        <v>-44.175590573171</v>
      </c>
      <c r="G257" s="3">
        <v>-1114.9107915579309</v>
      </c>
      <c r="H257">
        <v>12</v>
      </c>
      <c r="I257" t="s">
        <v>17</v>
      </c>
      <c r="J257" t="s">
        <v>18</v>
      </c>
    </row>
    <row r="258" spans="1:10" x14ac:dyDescent="0.3">
      <c r="A258">
        <v>261</v>
      </c>
      <c r="B258" t="s">
        <v>66</v>
      </c>
      <c r="C258">
        <v>51003</v>
      </c>
      <c r="D258" t="s">
        <v>21</v>
      </c>
      <c r="E258" s="3">
        <v>-115.66702588404119</v>
      </c>
      <c r="F258" s="3">
        <v>-50.306113498601583</v>
      </c>
      <c r="G258" s="3">
        <v>-283.25699891144592</v>
      </c>
      <c r="H258">
        <v>12</v>
      </c>
      <c r="I258" t="s">
        <v>17</v>
      </c>
      <c r="J258" t="s">
        <v>18</v>
      </c>
    </row>
    <row r="259" spans="1:10" x14ac:dyDescent="0.3">
      <c r="A259">
        <v>253</v>
      </c>
      <c r="B259" t="s">
        <v>66</v>
      </c>
      <c r="C259">
        <v>501</v>
      </c>
      <c r="D259" t="s">
        <v>10</v>
      </c>
      <c r="E259" s="3">
        <v>-9.5100000000000004E-2</v>
      </c>
      <c r="F259" s="3">
        <v>0.68340000000000001</v>
      </c>
      <c r="G259" s="3">
        <v>-0.2792</v>
      </c>
      <c r="H259">
        <v>12</v>
      </c>
      <c r="I259" t="s">
        <v>11</v>
      </c>
    </row>
    <row r="260" spans="1:10" x14ac:dyDescent="0.3">
      <c r="A260">
        <v>254</v>
      </c>
      <c r="B260" t="s">
        <v>66</v>
      </c>
      <c r="C260">
        <v>502</v>
      </c>
      <c r="D260" t="s">
        <v>12</v>
      </c>
      <c r="E260" s="3">
        <v>172.0881</v>
      </c>
      <c r="F260" s="3">
        <v>0.91190000000000004</v>
      </c>
      <c r="G260" s="3">
        <v>-175.49520000000001</v>
      </c>
      <c r="H260">
        <v>12</v>
      </c>
      <c r="I260" t="s">
        <v>11</v>
      </c>
    </row>
    <row r="261" spans="1:10" x14ac:dyDescent="0.3">
      <c r="A261">
        <v>255</v>
      </c>
      <c r="B261" t="s">
        <v>66</v>
      </c>
      <c r="C261">
        <v>503</v>
      </c>
      <c r="D261" t="s">
        <v>13</v>
      </c>
      <c r="E261" s="3">
        <v>170.5977</v>
      </c>
      <c r="F261" s="3">
        <v>0.03</v>
      </c>
      <c r="G261" s="3">
        <v>-1.1754</v>
      </c>
      <c r="H261">
        <v>12</v>
      </c>
      <c r="I261" t="s">
        <v>11</v>
      </c>
    </row>
    <row r="262" spans="1:10" x14ac:dyDescent="0.3">
      <c r="A262">
        <v>256</v>
      </c>
      <c r="B262" t="s">
        <v>66</v>
      </c>
      <c r="C262">
        <v>504</v>
      </c>
      <c r="D262" t="s">
        <v>14</v>
      </c>
      <c r="E262" s="3">
        <v>346.3646</v>
      </c>
      <c r="F262" s="3">
        <v>0.48220000000000002</v>
      </c>
      <c r="G262" s="3">
        <v>-0.14050000000000001</v>
      </c>
      <c r="H262">
        <v>12</v>
      </c>
      <c r="I262" t="s">
        <v>11</v>
      </c>
    </row>
    <row r="263" spans="1:10" x14ac:dyDescent="0.3">
      <c r="A263">
        <v>257</v>
      </c>
      <c r="B263" t="s">
        <v>66</v>
      </c>
      <c r="C263">
        <v>505</v>
      </c>
      <c r="D263" t="s">
        <v>15</v>
      </c>
      <c r="E263" s="3">
        <v>169.7251</v>
      </c>
      <c r="F263" s="3">
        <v>0.29599999999999999</v>
      </c>
      <c r="G263" s="3">
        <v>174.93029999999999</v>
      </c>
      <c r="H263">
        <v>12</v>
      </c>
      <c r="I263" t="s">
        <v>11</v>
      </c>
    </row>
    <row r="264" spans="1:10" x14ac:dyDescent="0.3">
      <c r="A264">
        <v>262</v>
      </c>
      <c r="B264" t="s">
        <v>66</v>
      </c>
      <c r="C264">
        <v>50116</v>
      </c>
      <c r="D264" t="s">
        <v>22</v>
      </c>
      <c r="E264" s="3">
        <v>1011.597904261022</v>
      </c>
      <c r="F264" s="3">
        <v>-624.46812341395128</v>
      </c>
      <c r="G264" s="3">
        <v>-1135.9700738371871</v>
      </c>
      <c r="H264">
        <v>12</v>
      </c>
      <c r="I264" t="s">
        <v>23</v>
      </c>
      <c r="J264" t="s">
        <v>18</v>
      </c>
    </row>
    <row r="265" spans="1:10" x14ac:dyDescent="0.3">
      <c r="A265">
        <v>263</v>
      </c>
      <c r="B265" t="s">
        <v>66</v>
      </c>
      <c r="C265">
        <v>50121</v>
      </c>
      <c r="D265" t="s">
        <v>24</v>
      </c>
      <c r="E265" s="3">
        <v>635.13859239460555</v>
      </c>
      <c r="F265" s="3">
        <v>-99.688499223180116</v>
      </c>
      <c r="G265" s="3">
        <v>96.061289891333075</v>
      </c>
      <c r="H265">
        <v>12</v>
      </c>
      <c r="I265" t="s">
        <v>23</v>
      </c>
      <c r="J265" t="s">
        <v>18</v>
      </c>
    </row>
    <row r="266" spans="1:10" x14ac:dyDescent="0.3">
      <c r="A266">
        <v>264</v>
      </c>
      <c r="B266" t="s">
        <v>66</v>
      </c>
      <c r="C266">
        <v>50013</v>
      </c>
      <c r="D266" t="s">
        <v>25</v>
      </c>
      <c r="E266" s="3">
        <v>279.66474340499462</v>
      </c>
      <c r="F266" s="3">
        <v>3.4437343681321022</v>
      </c>
      <c r="G266" s="3">
        <v>200.6820946217421</v>
      </c>
      <c r="H266">
        <v>12</v>
      </c>
      <c r="I266" t="s">
        <v>23</v>
      </c>
      <c r="J266" t="s">
        <v>18</v>
      </c>
    </row>
    <row r="267" spans="1:10" x14ac:dyDescent="0.3">
      <c r="A267">
        <v>265</v>
      </c>
      <c r="B267" t="s">
        <v>66</v>
      </c>
      <c r="C267">
        <v>50034</v>
      </c>
      <c r="D267" t="s">
        <v>26</v>
      </c>
      <c r="E267" s="3">
        <v>757.72691673181271</v>
      </c>
      <c r="F267" s="3">
        <v>-94.37921172278287</v>
      </c>
      <c r="G267" s="3">
        <v>-665.77470785485764</v>
      </c>
      <c r="H267">
        <v>12</v>
      </c>
      <c r="I267" t="s">
        <v>23</v>
      </c>
      <c r="J267" t="s">
        <v>18</v>
      </c>
    </row>
    <row r="268" spans="1:10" x14ac:dyDescent="0.3">
      <c r="A268">
        <v>266</v>
      </c>
      <c r="B268" t="s">
        <v>66</v>
      </c>
      <c r="C268">
        <v>50037</v>
      </c>
      <c r="D268" t="s">
        <v>27</v>
      </c>
      <c r="E268" s="3">
        <v>33.224477827176479</v>
      </c>
      <c r="F268" s="3">
        <v>-97.942337259577627</v>
      </c>
      <c r="G268" s="3">
        <v>-391.02883811008212</v>
      </c>
      <c r="H268">
        <v>12</v>
      </c>
      <c r="I268" t="s">
        <v>23</v>
      </c>
      <c r="J268" t="s">
        <v>18</v>
      </c>
    </row>
    <row r="269" spans="1:10" x14ac:dyDescent="0.3">
      <c r="A269">
        <v>268</v>
      </c>
      <c r="B269" t="s">
        <v>66</v>
      </c>
      <c r="C269">
        <v>50004</v>
      </c>
      <c r="D269" t="s">
        <v>29</v>
      </c>
      <c r="E269" s="3">
        <v>1045.4211305858901</v>
      </c>
      <c r="F269" s="3">
        <v>-512.27915383081984</v>
      </c>
      <c r="G269" s="3">
        <v>-1105.6747694283861</v>
      </c>
      <c r="H269">
        <v>12</v>
      </c>
      <c r="I269" t="s">
        <v>23</v>
      </c>
      <c r="J269" t="s">
        <v>18</v>
      </c>
    </row>
    <row r="270" spans="1:10" x14ac:dyDescent="0.3">
      <c r="A270">
        <v>267</v>
      </c>
      <c r="B270" t="s">
        <v>66</v>
      </c>
      <c r="C270">
        <v>50042</v>
      </c>
      <c r="D270" t="s">
        <v>28</v>
      </c>
      <c r="E270" s="3">
        <v>1083.0939856802911</v>
      </c>
      <c r="F270" s="3">
        <v>-96.886273257723531</v>
      </c>
      <c r="G270" s="3">
        <v>-356.46679635915069</v>
      </c>
      <c r="H270">
        <v>12</v>
      </c>
      <c r="I270" t="s">
        <v>23</v>
      </c>
      <c r="J270" t="s">
        <v>18</v>
      </c>
    </row>
    <row r="271" spans="1:10" x14ac:dyDescent="0.3">
      <c r="A271">
        <v>269</v>
      </c>
      <c r="B271" t="s">
        <v>66</v>
      </c>
      <c r="C271">
        <v>50506</v>
      </c>
      <c r="D271" t="s">
        <v>30</v>
      </c>
      <c r="E271" s="3">
        <v>1148.4646014759089</v>
      </c>
      <c r="F271" s="3">
        <v>-23.508757874993659</v>
      </c>
      <c r="G271" s="3">
        <v>-460.44475861870342</v>
      </c>
      <c r="H271">
        <v>12</v>
      </c>
      <c r="I271" t="s">
        <v>23</v>
      </c>
      <c r="J271" t="s">
        <v>18</v>
      </c>
    </row>
    <row r="272" spans="1:10" x14ac:dyDescent="0.3">
      <c r="A272">
        <v>270</v>
      </c>
      <c r="B272" t="s">
        <v>66</v>
      </c>
      <c r="C272">
        <v>50507</v>
      </c>
      <c r="D272" t="s">
        <v>31</v>
      </c>
      <c r="E272" s="3">
        <v>676.64370610054164</v>
      </c>
      <c r="F272" s="3">
        <v>-26.85180119515762</v>
      </c>
      <c r="G272" s="3">
        <v>-1093.7851047613101</v>
      </c>
      <c r="H272">
        <v>12</v>
      </c>
      <c r="I272" t="s">
        <v>23</v>
      </c>
      <c r="J272" t="s">
        <v>18</v>
      </c>
    </row>
    <row r="273" spans="1:10" x14ac:dyDescent="0.3">
      <c r="A273">
        <v>271</v>
      </c>
      <c r="B273" t="s">
        <v>66</v>
      </c>
      <c r="C273">
        <v>50509</v>
      </c>
      <c r="D273" t="s">
        <v>32</v>
      </c>
      <c r="E273" s="3">
        <v>487.51235468480621</v>
      </c>
      <c r="F273" s="3">
        <v>-401.54779473572148</v>
      </c>
      <c r="G273" s="3">
        <v>439.18138049188678</v>
      </c>
      <c r="H273">
        <v>12</v>
      </c>
      <c r="I273" t="s">
        <v>23</v>
      </c>
      <c r="J273" t="s">
        <v>18</v>
      </c>
    </row>
    <row r="274" spans="1:10" x14ac:dyDescent="0.3">
      <c r="A274">
        <v>272</v>
      </c>
      <c r="B274" t="s">
        <v>66</v>
      </c>
      <c r="C274">
        <v>50057</v>
      </c>
      <c r="D274" t="s">
        <v>33</v>
      </c>
      <c r="E274" s="3">
        <v>381.47136924257012</v>
      </c>
      <c r="F274" s="3">
        <v>-98.823097296860624</v>
      </c>
      <c r="G274" s="3">
        <v>-132.28364226346949</v>
      </c>
      <c r="H274">
        <v>12</v>
      </c>
      <c r="I274" t="s">
        <v>23</v>
      </c>
      <c r="J274" t="s">
        <v>18</v>
      </c>
    </row>
    <row r="275" spans="1:10" x14ac:dyDescent="0.3">
      <c r="A275">
        <v>273</v>
      </c>
      <c r="B275" t="s">
        <v>66</v>
      </c>
      <c r="C275">
        <v>50087</v>
      </c>
      <c r="D275" t="s">
        <v>34</v>
      </c>
      <c r="E275" s="3">
        <v>1198.1368553679199</v>
      </c>
      <c r="F275" s="3">
        <v>-631.04966792469349</v>
      </c>
      <c r="G275" s="3">
        <v>-975.86272278926856</v>
      </c>
      <c r="H275">
        <v>12</v>
      </c>
      <c r="I275" t="s">
        <v>23</v>
      </c>
      <c r="J275" t="s">
        <v>18</v>
      </c>
    </row>
    <row r="276" spans="1:10" x14ac:dyDescent="0.3">
      <c r="A276">
        <v>274</v>
      </c>
      <c r="B276" t="s">
        <v>66</v>
      </c>
      <c r="C276">
        <v>50092</v>
      </c>
      <c r="D276" t="s">
        <v>35</v>
      </c>
      <c r="E276" s="3">
        <v>532.57008338725097</v>
      </c>
      <c r="F276" s="3">
        <v>-93.873066011603171</v>
      </c>
      <c r="G276" s="3">
        <v>-862.35823984314084</v>
      </c>
      <c r="H276">
        <v>12</v>
      </c>
      <c r="I276" t="s">
        <v>23</v>
      </c>
      <c r="J276" t="s">
        <v>18</v>
      </c>
    </row>
    <row r="277" spans="1:10" x14ac:dyDescent="0.3">
      <c r="A277">
        <v>275</v>
      </c>
      <c r="B277" t="s">
        <v>66</v>
      </c>
      <c r="C277">
        <v>50096</v>
      </c>
      <c r="D277" t="s">
        <v>36</v>
      </c>
      <c r="E277" s="3">
        <v>424.48624557102852</v>
      </c>
      <c r="F277" s="3">
        <v>3.235852756765929</v>
      </c>
      <c r="G277" s="3">
        <v>303.9753181503412</v>
      </c>
      <c r="H277">
        <v>12</v>
      </c>
      <c r="I277" t="s">
        <v>23</v>
      </c>
      <c r="J277" t="s">
        <v>18</v>
      </c>
    </row>
  </sheetData>
  <autoFilter ref="A1:J277"/>
  <sortState ref="A2:J277">
    <sortCondition ref="B2:B277"/>
    <sortCondition ref="D2:D277"/>
    <sortCondition ref="C2:C277"/>
  </sortState>
  <phoneticPr fontId="1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77"/>
  <sheetViews>
    <sheetView topLeftCell="A248" workbookViewId="0">
      <selection activeCell="B1" sqref="B1:J277"/>
    </sheetView>
  </sheetViews>
  <sheetFormatPr defaultRowHeight="16.5" x14ac:dyDescent="0.3"/>
  <cols>
    <col min="1" max="1" width="4.5" bestFit="1" customWidth="1"/>
    <col min="2" max="2" width="14.875" bestFit="1" customWidth="1"/>
    <col min="3" max="3" width="8.125" bestFit="1" customWidth="1"/>
    <col min="4" max="4" width="16.5" bestFit="1" customWidth="1"/>
    <col min="5" max="7" width="13.625" bestFit="1" customWidth="1"/>
    <col min="8" max="8" width="10.5" bestFit="1" customWidth="1"/>
    <col min="9" max="9" width="10.375" bestFit="1" customWidth="1"/>
    <col min="10" max="10" width="10.625" bestFit="1" customWidth="1"/>
  </cols>
  <sheetData>
    <row r="1" spans="1:10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3">
      <c r="A2">
        <v>0</v>
      </c>
      <c r="B2" t="s">
        <v>9</v>
      </c>
      <c r="C2">
        <v>1003</v>
      </c>
      <c r="D2" t="s">
        <v>42</v>
      </c>
      <c r="E2" s="3">
        <v>575.96400000000006</v>
      </c>
      <c r="F2" s="3">
        <v>-52.545000000000002</v>
      </c>
      <c r="G2" s="3">
        <v>347.166</v>
      </c>
      <c r="H2">
        <v>1</v>
      </c>
      <c r="I2" t="s">
        <v>17</v>
      </c>
    </row>
    <row r="3" spans="1:10" x14ac:dyDescent="0.3">
      <c r="A3">
        <v>1</v>
      </c>
      <c r="B3" t="s">
        <v>9</v>
      </c>
      <c r="C3">
        <v>1012</v>
      </c>
      <c r="D3" t="s">
        <v>43</v>
      </c>
      <c r="E3" s="3">
        <v>1296.71</v>
      </c>
      <c r="F3" s="3">
        <v>-47.786999999999999</v>
      </c>
      <c r="G3" s="3">
        <v>-489.62900000000002</v>
      </c>
      <c r="H3">
        <v>1</v>
      </c>
      <c r="I3" t="s">
        <v>17</v>
      </c>
    </row>
    <row r="4" spans="1:10" x14ac:dyDescent="0.3">
      <c r="A4">
        <v>2</v>
      </c>
      <c r="B4" t="s">
        <v>9</v>
      </c>
      <c r="C4">
        <v>1028</v>
      </c>
      <c r="D4" t="s">
        <v>44</v>
      </c>
      <c r="E4" s="3">
        <v>604.53199999999993</v>
      </c>
      <c r="F4" s="3">
        <v>-47.247999999999998</v>
      </c>
      <c r="G4" s="3">
        <v>-1115.1500000000001</v>
      </c>
      <c r="H4">
        <v>1</v>
      </c>
      <c r="I4" t="s">
        <v>17</v>
      </c>
    </row>
    <row r="5" spans="1:10" x14ac:dyDescent="0.3">
      <c r="A5">
        <v>3</v>
      </c>
      <c r="B5" t="s">
        <v>9</v>
      </c>
      <c r="C5">
        <v>1001</v>
      </c>
      <c r="D5" t="s">
        <v>45</v>
      </c>
      <c r="E5" s="3">
        <v>-115.56699999999999</v>
      </c>
      <c r="F5" s="3">
        <v>-51.792000000000002</v>
      </c>
      <c r="G5" s="3">
        <v>-282.96300000000002</v>
      </c>
      <c r="H5">
        <v>1</v>
      </c>
      <c r="I5" t="s">
        <v>17</v>
      </c>
    </row>
    <row r="6" spans="1:10" x14ac:dyDescent="0.3">
      <c r="A6">
        <v>4</v>
      </c>
      <c r="B6" t="s">
        <v>9</v>
      </c>
      <c r="C6">
        <v>50501</v>
      </c>
      <c r="D6" t="s">
        <v>67</v>
      </c>
      <c r="E6" s="3">
        <v>0.14508682997487249</v>
      </c>
      <c r="F6" s="3">
        <v>2.6492753288077792E-2</v>
      </c>
      <c r="G6" s="3">
        <v>-0.2378495190417102</v>
      </c>
      <c r="H6">
        <v>1</v>
      </c>
      <c r="I6" t="s">
        <v>11</v>
      </c>
      <c r="J6" t="s">
        <v>68</v>
      </c>
    </row>
    <row r="7" spans="1:10" x14ac:dyDescent="0.3">
      <c r="A7">
        <v>5</v>
      </c>
      <c r="B7" t="s">
        <v>9</v>
      </c>
      <c r="C7">
        <v>50502</v>
      </c>
      <c r="D7" t="s">
        <v>69</v>
      </c>
      <c r="E7" s="3">
        <v>172.23660146270319</v>
      </c>
      <c r="F7" s="3">
        <v>-4.0383314062542627E-2</v>
      </c>
      <c r="G7" s="3">
        <v>-175.5577155212294</v>
      </c>
      <c r="H7">
        <v>1</v>
      </c>
      <c r="I7" t="s">
        <v>11</v>
      </c>
      <c r="J7" t="s">
        <v>68</v>
      </c>
    </row>
    <row r="8" spans="1:10" x14ac:dyDescent="0.3">
      <c r="A8">
        <v>6</v>
      </c>
      <c r="B8" t="s">
        <v>9</v>
      </c>
      <c r="C8">
        <v>50503</v>
      </c>
      <c r="D8" t="s">
        <v>70</v>
      </c>
      <c r="E8" s="3">
        <v>170.85297062679209</v>
      </c>
      <c r="F8" s="3">
        <v>-0.4872692173697396</v>
      </c>
      <c r="G8" s="3">
        <v>-1.2542957447966641</v>
      </c>
      <c r="H8">
        <v>1</v>
      </c>
      <c r="I8" t="s">
        <v>11</v>
      </c>
      <c r="J8" t="s">
        <v>68</v>
      </c>
    </row>
    <row r="9" spans="1:10" x14ac:dyDescent="0.3">
      <c r="A9">
        <v>7</v>
      </c>
      <c r="B9" t="s">
        <v>9</v>
      </c>
      <c r="C9">
        <v>50504</v>
      </c>
      <c r="D9" t="s">
        <v>71</v>
      </c>
      <c r="E9" s="3">
        <v>346.60763146314429</v>
      </c>
      <c r="F9" s="3">
        <v>8.3867894168555862E-2</v>
      </c>
      <c r="G9" s="3">
        <v>-0.30496771477570672</v>
      </c>
      <c r="H9">
        <v>1</v>
      </c>
      <c r="I9" t="s">
        <v>11</v>
      </c>
      <c r="J9" t="s">
        <v>68</v>
      </c>
    </row>
    <row r="10" spans="1:10" x14ac:dyDescent="0.3">
      <c r="A10">
        <v>8</v>
      </c>
      <c r="B10" t="s">
        <v>9</v>
      </c>
      <c r="C10">
        <v>50505</v>
      </c>
      <c r="D10" t="s">
        <v>72</v>
      </c>
      <c r="E10" s="3">
        <v>170.07002533296929</v>
      </c>
      <c r="F10" s="3">
        <v>0.25508452581118668</v>
      </c>
      <c r="G10" s="3">
        <v>174.86338732089339</v>
      </c>
      <c r="H10">
        <v>1</v>
      </c>
      <c r="I10" t="s">
        <v>11</v>
      </c>
      <c r="J10" t="s">
        <v>68</v>
      </c>
    </row>
    <row r="11" spans="1:10" x14ac:dyDescent="0.3">
      <c r="A11">
        <v>9</v>
      </c>
      <c r="B11" t="s">
        <v>9</v>
      </c>
      <c r="C11">
        <v>50116</v>
      </c>
      <c r="D11" t="s">
        <v>22</v>
      </c>
      <c r="E11" s="3">
        <v>1011.656037811921</v>
      </c>
      <c r="F11" s="3">
        <v>-627.31273480749269</v>
      </c>
      <c r="G11" s="3">
        <v>-1134.889470529972</v>
      </c>
      <c r="H11">
        <v>1</v>
      </c>
      <c r="I11" t="s">
        <v>23</v>
      </c>
      <c r="J11" t="s">
        <v>68</v>
      </c>
    </row>
    <row r="12" spans="1:10" x14ac:dyDescent="0.3">
      <c r="A12">
        <v>10</v>
      </c>
      <c r="B12" t="s">
        <v>9</v>
      </c>
      <c r="C12">
        <v>50121</v>
      </c>
      <c r="D12" t="s">
        <v>24</v>
      </c>
      <c r="E12" s="3">
        <v>635.51503182852446</v>
      </c>
      <c r="F12" s="3">
        <v>-99.604984694615268</v>
      </c>
      <c r="G12" s="3">
        <v>95.98786810134068</v>
      </c>
      <c r="H12">
        <v>1</v>
      </c>
      <c r="I12" t="s">
        <v>23</v>
      </c>
      <c r="J12" t="s">
        <v>68</v>
      </c>
    </row>
    <row r="13" spans="1:10" x14ac:dyDescent="0.3">
      <c r="A13">
        <v>11</v>
      </c>
      <c r="B13" t="s">
        <v>9</v>
      </c>
      <c r="C13">
        <v>50013</v>
      </c>
      <c r="D13" t="s">
        <v>25</v>
      </c>
      <c r="E13" s="3">
        <v>280.02468093967229</v>
      </c>
      <c r="F13" s="3">
        <v>3.5349302803151579</v>
      </c>
      <c r="G13" s="3">
        <v>200.54501069497121</v>
      </c>
      <c r="H13">
        <v>1</v>
      </c>
      <c r="I13" t="s">
        <v>23</v>
      </c>
      <c r="J13" t="s">
        <v>68</v>
      </c>
    </row>
    <row r="14" spans="1:10" x14ac:dyDescent="0.3">
      <c r="A14">
        <v>12</v>
      </c>
      <c r="B14" t="s">
        <v>9</v>
      </c>
      <c r="C14">
        <v>50034</v>
      </c>
      <c r="D14" t="s">
        <v>26</v>
      </c>
      <c r="E14" s="3">
        <v>757.66063830996268</v>
      </c>
      <c r="F14" s="3">
        <v>-96.189546288375766</v>
      </c>
      <c r="G14" s="3">
        <v>-665.93007948702962</v>
      </c>
      <c r="H14">
        <v>1</v>
      </c>
      <c r="I14" t="s">
        <v>23</v>
      </c>
      <c r="J14" t="s">
        <v>68</v>
      </c>
    </row>
    <row r="15" spans="1:10" x14ac:dyDescent="0.3">
      <c r="A15">
        <v>13</v>
      </c>
      <c r="B15" t="s">
        <v>9</v>
      </c>
      <c r="C15">
        <v>50037</v>
      </c>
      <c r="D15" t="s">
        <v>27</v>
      </c>
      <c r="E15" s="3">
        <v>33.319390777172273</v>
      </c>
      <c r="F15" s="3">
        <v>-99.575946475576842</v>
      </c>
      <c r="G15" s="3">
        <v>-390.75729340420747</v>
      </c>
      <c r="H15">
        <v>1</v>
      </c>
      <c r="I15" t="s">
        <v>23</v>
      </c>
      <c r="J15" t="s">
        <v>68</v>
      </c>
    </row>
    <row r="16" spans="1:10" x14ac:dyDescent="0.3">
      <c r="A16">
        <v>15</v>
      </c>
      <c r="B16" t="s">
        <v>9</v>
      </c>
      <c r="C16">
        <v>50004</v>
      </c>
      <c r="D16" t="s">
        <v>29</v>
      </c>
      <c r="E16" s="3">
        <v>1045.413035403232</v>
      </c>
      <c r="F16" s="3">
        <v>-515.02006776036023</v>
      </c>
      <c r="G16" s="3">
        <v>-1104.9060910434621</v>
      </c>
      <c r="H16">
        <v>1</v>
      </c>
      <c r="I16" t="s">
        <v>23</v>
      </c>
      <c r="J16" t="s">
        <v>68</v>
      </c>
    </row>
    <row r="17" spans="1:10" x14ac:dyDescent="0.3">
      <c r="A17">
        <v>14</v>
      </c>
      <c r="B17" t="s">
        <v>9</v>
      </c>
      <c r="C17">
        <v>50042</v>
      </c>
      <c r="D17" t="s">
        <v>28</v>
      </c>
      <c r="E17" s="3">
        <v>1083.207547752143</v>
      </c>
      <c r="F17" s="3">
        <v>-97.648520723185783</v>
      </c>
      <c r="G17" s="3">
        <v>-356.80473246135551</v>
      </c>
      <c r="H17">
        <v>1</v>
      </c>
      <c r="I17" t="s">
        <v>23</v>
      </c>
      <c r="J17" t="s">
        <v>68</v>
      </c>
    </row>
    <row r="18" spans="1:10" x14ac:dyDescent="0.3">
      <c r="A18">
        <v>16</v>
      </c>
      <c r="B18" t="s">
        <v>9</v>
      </c>
      <c r="C18">
        <v>50506</v>
      </c>
      <c r="D18" t="s">
        <v>30</v>
      </c>
      <c r="E18" s="3">
        <v>1148.463541067691</v>
      </c>
      <c r="F18" s="3">
        <v>-24.493553779792499</v>
      </c>
      <c r="G18" s="3">
        <v>-461.01125796145089</v>
      </c>
      <c r="H18">
        <v>1</v>
      </c>
      <c r="I18" t="s">
        <v>23</v>
      </c>
      <c r="J18" t="s">
        <v>68</v>
      </c>
    </row>
    <row r="19" spans="1:10" x14ac:dyDescent="0.3">
      <c r="A19">
        <v>17</v>
      </c>
      <c r="B19" t="s">
        <v>9</v>
      </c>
      <c r="C19">
        <v>50507</v>
      </c>
      <c r="D19" t="s">
        <v>31</v>
      </c>
      <c r="E19" s="3">
        <v>676.28063809863102</v>
      </c>
      <c r="F19" s="3">
        <v>-29.83796048983621</v>
      </c>
      <c r="G19" s="3">
        <v>-1094.068025371861</v>
      </c>
      <c r="H19">
        <v>1</v>
      </c>
      <c r="I19" t="s">
        <v>23</v>
      </c>
      <c r="J19" t="s">
        <v>68</v>
      </c>
    </row>
    <row r="20" spans="1:10" x14ac:dyDescent="0.3">
      <c r="A20">
        <v>18</v>
      </c>
      <c r="B20" t="s">
        <v>9</v>
      </c>
      <c r="C20">
        <v>50509</v>
      </c>
      <c r="D20" t="s">
        <v>32</v>
      </c>
      <c r="E20" s="3">
        <v>488.311542294616</v>
      </c>
      <c r="F20" s="3">
        <v>-400.6789923969842</v>
      </c>
      <c r="G20" s="3">
        <v>439.97843697857661</v>
      </c>
      <c r="H20">
        <v>1</v>
      </c>
      <c r="I20" t="s">
        <v>23</v>
      </c>
      <c r="J20" t="s">
        <v>68</v>
      </c>
    </row>
    <row r="21" spans="1:10" x14ac:dyDescent="0.3">
      <c r="A21">
        <v>19</v>
      </c>
      <c r="B21" t="s">
        <v>9</v>
      </c>
      <c r="C21">
        <v>50057</v>
      </c>
      <c r="D21" t="s">
        <v>33</v>
      </c>
      <c r="E21" s="3">
        <v>381.71578318873742</v>
      </c>
      <c r="F21" s="3">
        <v>-99.523345798489714</v>
      </c>
      <c r="G21" s="3">
        <v>-132.21193862055401</v>
      </c>
      <c r="H21">
        <v>1</v>
      </c>
      <c r="I21" t="s">
        <v>23</v>
      </c>
      <c r="J21" t="s">
        <v>68</v>
      </c>
    </row>
    <row r="22" spans="1:10" x14ac:dyDescent="0.3">
      <c r="A22">
        <v>20</v>
      </c>
      <c r="B22" t="s">
        <v>9</v>
      </c>
      <c r="C22">
        <v>50087</v>
      </c>
      <c r="D22" t="s">
        <v>34</v>
      </c>
      <c r="E22" s="3">
        <v>1198.2920120228091</v>
      </c>
      <c r="F22" s="3">
        <v>-633.33825356612067</v>
      </c>
      <c r="G22" s="3">
        <v>-974.87332408895827</v>
      </c>
      <c r="H22">
        <v>1</v>
      </c>
      <c r="I22" t="s">
        <v>23</v>
      </c>
      <c r="J22" t="s">
        <v>68</v>
      </c>
    </row>
    <row r="23" spans="1:10" x14ac:dyDescent="0.3">
      <c r="A23">
        <v>21</v>
      </c>
      <c r="B23" t="s">
        <v>9</v>
      </c>
      <c r="C23">
        <v>50092</v>
      </c>
      <c r="D23" t="s">
        <v>35</v>
      </c>
      <c r="E23" s="3">
        <v>532.39032456717666</v>
      </c>
      <c r="F23" s="3">
        <v>-96.363186616250232</v>
      </c>
      <c r="G23" s="3">
        <v>-862.38413627762702</v>
      </c>
      <c r="H23">
        <v>1</v>
      </c>
      <c r="I23" t="s">
        <v>23</v>
      </c>
      <c r="J23" t="s">
        <v>68</v>
      </c>
    </row>
    <row r="24" spans="1:10" x14ac:dyDescent="0.3">
      <c r="A24">
        <v>22</v>
      </c>
      <c r="B24" t="s">
        <v>9</v>
      </c>
      <c r="C24">
        <v>50096</v>
      </c>
      <c r="D24" t="s">
        <v>36</v>
      </c>
      <c r="E24" s="3">
        <v>424.90575539126621</v>
      </c>
      <c r="F24" s="3">
        <v>3.7039686609429112</v>
      </c>
      <c r="G24" s="3">
        <v>303.75473127931127</v>
      </c>
      <c r="H24">
        <v>1</v>
      </c>
      <c r="I24" t="s">
        <v>23</v>
      </c>
      <c r="J24" t="s">
        <v>68</v>
      </c>
    </row>
    <row r="25" spans="1:10" x14ac:dyDescent="0.3">
      <c r="A25">
        <v>23</v>
      </c>
      <c r="B25" t="s">
        <v>37</v>
      </c>
      <c r="C25">
        <v>1005</v>
      </c>
      <c r="D25" t="s">
        <v>42</v>
      </c>
      <c r="E25" s="3">
        <v>575.70699999999999</v>
      </c>
      <c r="F25" s="3">
        <v>-52.798999999999999</v>
      </c>
      <c r="G25" s="3">
        <v>347.279</v>
      </c>
      <c r="H25">
        <v>2</v>
      </c>
      <c r="I25" t="s">
        <v>17</v>
      </c>
    </row>
    <row r="26" spans="1:10" x14ac:dyDescent="0.3">
      <c r="A26">
        <v>24</v>
      </c>
      <c r="B26" t="s">
        <v>37</v>
      </c>
      <c r="C26">
        <v>1002</v>
      </c>
      <c r="D26" t="s">
        <v>43</v>
      </c>
      <c r="E26" s="3">
        <v>1296.8040000000001</v>
      </c>
      <c r="F26" s="3">
        <v>-47.927</v>
      </c>
      <c r="G26" s="3">
        <v>-489.36399999999998</v>
      </c>
      <c r="H26">
        <v>2</v>
      </c>
      <c r="I26" t="s">
        <v>17</v>
      </c>
    </row>
    <row r="27" spans="1:10" x14ac:dyDescent="0.3">
      <c r="A27">
        <v>25</v>
      </c>
      <c r="B27" t="s">
        <v>37</v>
      </c>
      <c r="C27">
        <v>1022</v>
      </c>
      <c r="D27" t="s">
        <v>44</v>
      </c>
      <c r="E27" s="3">
        <v>604.74800000000005</v>
      </c>
      <c r="F27" s="3">
        <v>-45.97</v>
      </c>
      <c r="G27" s="3">
        <v>-1115.0540000000001</v>
      </c>
      <c r="H27">
        <v>2</v>
      </c>
      <c r="I27" t="s">
        <v>17</v>
      </c>
    </row>
    <row r="28" spans="1:10" x14ac:dyDescent="0.3">
      <c r="A28">
        <v>26</v>
      </c>
      <c r="B28" t="s">
        <v>37</v>
      </c>
      <c r="C28">
        <v>1008</v>
      </c>
      <c r="D28" t="s">
        <v>45</v>
      </c>
      <c r="E28" s="3">
        <v>-115.538</v>
      </c>
      <c r="F28" s="3">
        <v>-50.825000000000003</v>
      </c>
      <c r="G28" s="3">
        <v>-283.14</v>
      </c>
      <c r="H28">
        <v>2</v>
      </c>
      <c r="I28" t="s">
        <v>17</v>
      </c>
    </row>
    <row r="29" spans="1:10" x14ac:dyDescent="0.3">
      <c r="A29">
        <v>27</v>
      </c>
      <c r="B29" t="s">
        <v>37</v>
      </c>
      <c r="C29">
        <v>50501</v>
      </c>
      <c r="D29" t="s">
        <v>67</v>
      </c>
      <c r="E29" s="3">
        <v>9.1362952287361937E-2</v>
      </c>
      <c r="F29" s="3">
        <v>0.63376596077748426</v>
      </c>
      <c r="G29" s="3">
        <v>-0.29620592568704951</v>
      </c>
      <c r="H29">
        <v>2</v>
      </c>
      <c r="I29" t="s">
        <v>11</v>
      </c>
      <c r="J29" t="s">
        <v>68</v>
      </c>
    </row>
    <row r="30" spans="1:10" x14ac:dyDescent="0.3">
      <c r="A30">
        <v>28</v>
      </c>
      <c r="B30" t="s">
        <v>37</v>
      </c>
      <c r="C30">
        <v>50502</v>
      </c>
      <c r="D30" t="s">
        <v>69</v>
      </c>
      <c r="E30" s="3">
        <v>172.2380112805503</v>
      </c>
      <c r="F30" s="3">
        <v>0.59198448908889056</v>
      </c>
      <c r="G30" s="3">
        <v>-175.5619442194963</v>
      </c>
      <c r="H30">
        <v>2</v>
      </c>
      <c r="I30" t="s">
        <v>11</v>
      </c>
      <c r="J30" t="s">
        <v>68</v>
      </c>
    </row>
    <row r="31" spans="1:10" x14ac:dyDescent="0.3">
      <c r="A31">
        <v>29</v>
      </c>
      <c r="B31" t="s">
        <v>37</v>
      </c>
      <c r="C31">
        <v>50503</v>
      </c>
      <c r="D31" t="s">
        <v>70</v>
      </c>
      <c r="E31" s="3">
        <v>170.799000736908</v>
      </c>
      <c r="F31" s="3">
        <v>-3.9351925040653213E-2</v>
      </c>
      <c r="G31" s="3">
        <v>-1.2595433466239849</v>
      </c>
      <c r="H31">
        <v>2</v>
      </c>
      <c r="I31" t="s">
        <v>11</v>
      </c>
      <c r="J31" t="s">
        <v>68</v>
      </c>
    </row>
    <row r="32" spans="1:10" x14ac:dyDescent="0.3">
      <c r="A32">
        <v>30</v>
      </c>
      <c r="B32" t="s">
        <v>37</v>
      </c>
      <c r="C32">
        <v>50504</v>
      </c>
      <c r="D32" t="s">
        <v>71</v>
      </c>
      <c r="E32" s="3">
        <v>346.55381252147941</v>
      </c>
      <c r="F32" s="3">
        <v>0.36559008475043292</v>
      </c>
      <c r="G32" s="3">
        <v>-0.25436498004466152</v>
      </c>
      <c r="H32">
        <v>2</v>
      </c>
      <c r="I32" t="s">
        <v>11</v>
      </c>
      <c r="J32" t="s">
        <v>68</v>
      </c>
    </row>
    <row r="33" spans="1:10" x14ac:dyDescent="0.3">
      <c r="A33">
        <v>31</v>
      </c>
      <c r="B33" t="s">
        <v>37</v>
      </c>
      <c r="C33">
        <v>50505</v>
      </c>
      <c r="D33" t="s">
        <v>72</v>
      </c>
      <c r="E33" s="3">
        <v>169.96122068213481</v>
      </c>
      <c r="F33" s="3">
        <v>0.51605213211074996</v>
      </c>
      <c r="G33" s="3">
        <v>174.85857619748509</v>
      </c>
      <c r="H33">
        <v>2</v>
      </c>
      <c r="I33" t="s">
        <v>11</v>
      </c>
      <c r="J33" t="s">
        <v>68</v>
      </c>
    </row>
    <row r="34" spans="1:10" x14ac:dyDescent="0.3">
      <c r="A34">
        <v>32</v>
      </c>
      <c r="B34" t="s">
        <v>37</v>
      </c>
      <c r="C34">
        <v>50116</v>
      </c>
      <c r="D34" t="s">
        <v>22</v>
      </c>
      <c r="E34" s="3">
        <v>1011.370196555475</v>
      </c>
      <c r="F34" s="3">
        <v>-626.44632231652918</v>
      </c>
      <c r="G34" s="3">
        <v>-1135.297921804563</v>
      </c>
      <c r="H34">
        <v>2</v>
      </c>
      <c r="I34" t="s">
        <v>23</v>
      </c>
      <c r="J34" t="s">
        <v>68</v>
      </c>
    </row>
    <row r="35" spans="1:10" x14ac:dyDescent="0.3">
      <c r="A35">
        <v>33</v>
      </c>
      <c r="B35" t="s">
        <v>37</v>
      </c>
      <c r="C35">
        <v>50121</v>
      </c>
      <c r="D35" t="s">
        <v>24</v>
      </c>
      <c r="E35" s="3">
        <v>635.33704939317272</v>
      </c>
      <c r="F35" s="3">
        <v>-99.697308390075094</v>
      </c>
      <c r="G35" s="3">
        <v>96.022953203337707</v>
      </c>
      <c r="H35">
        <v>2</v>
      </c>
      <c r="I35" t="s">
        <v>23</v>
      </c>
      <c r="J35" t="s">
        <v>68</v>
      </c>
    </row>
    <row r="36" spans="1:10" x14ac:dyDescent="0.3">
      <c r="A36">
        <v>34</v>
      </c>
      <c r="B36" t="s">
        <v>37</v>
      </c>
      <c r="C36">
        <v>50013</v>
      </c>
      <c r="D36" t="s">
        <v>25</v>
      </c>
      <c r="E36" s="3">
        <v>279.91080594610889</v>
      </c>
      <c r="F36" s="3">
        <v>3.665185451718314</v>
      </c>
      <c r="G36" s="3">
        <v>200.5782402020059</v>
      </c>
      <c r="H36">
        <v>2</v>
      </c>
      <c r="I36" t="s">
        <v>23</v>
      </c>
      <c r="J36" t="s">
        <v>68</v>
      </c>
    </row>
    <row r="37" spans="1:10" x14ac:dyDescent="0.3">
      <c r="A37">
        <v>35</v>
      </c>
      <c r="B37" t="s">
        <v>37</v>
      </c>
      <c r="C37">
        <v>50034</v>
      </c>
      <c r="D37" t="s">
        <v>26</v>
      </c>
      <c r="E37" s="3">
        <v>757.72604911683925</v>
      </c>
      <c r="F37" s="3">
        <v>-95.584712464292522</v>
      </c>
      <c r="G37" s="3">
        <v>-665.85249105306525</v>
      </c>
      <c r="H37">
        <v>2</v>
      </c>
      <c r="I37" t="s">
        <v>23</v>
      </c>
      <c r="J37" t="s">
        <v>68</v>
      </c>
    </row>
    <row r="38" spans="1:10" x14ac:dyDescent="0.3">
      <c r="A38">
        <v>36</v>
      </c>
      <c r="B38" t="s">
        <v>37</v>
      </c>
      <c r="C38">
        <v>50037</v>
      </c>
      <c r="D38" t="s">
        <v>27</v>
      </c>
      <c r="E38" s="3">
        <v>33.295209522181018</v>
      </c>
      <c r="F38" s="3">
        <v>-98.583583473757372</v>
      </c>
      <c r="G38" s="3">
        <v>-390.91115512662122</v>
      </c>
      <c r="H38">
        <v>2</v>
      </c>
      <c r="I38" t="s">
        <v>23</v>
      </c>
      <c r="J38" t="s">
        <v>68</v>
      </c>
    </row>
    <row r="39" spans="1:10" x14ac:dyDescent="0.3">
      <c r="A39">
        <v>38</v>
      </c>
      <c r="B39" t="s">
        <v>37</v>
      </c>
      <c r="C39">
        <v>50004</v>
      </c>
      <c r="D39" t="s">
        <v>29</v>
      </c>
      <c r="E39" s="3">
        <v>1045.2232238279271</v>
      </c>
      <c r="F39" s="3">
        <v>-514.21744774531157</v>
      </c>
      <c r="G39" s="3">
        <v>-1105.18424947224</v>
      </c>
      <c r="H39">
        <v>2</v>
      </c>
      <c r="I39" t="s">
        <v>23</v>
      </c>
      <c r="J39" t="s">
        <v>68</v>
      </c>
    </row>
    <row r="40" spans="1:10" x14ac:dyDescent="0.3">
      <c r="A40">
        <v>37</v>
      </c>
      <c r="B40" t="s">
        <v>37</v>
      </c>
      <c r="C40">
        <v>50042</v>
      </c>
      <c r="D40" t="s">
        <v>28</v>
      </c>
      <c r="E40" s="3">
        <v>1083.173956025742</v>
      </c>
      <c r="F40" s="3">
        <v>-97.679078535906314</v>
      </c>
      <c r="G40" s="3">
        <v>-356.62656628789898</v>
      </c>
      <c r="H40">
        <v>2</v>
      </c>
      <c r="I40" t="s">
        <v>23</v>
      </c>
      <c r="J40" t="s">
        <v>68</v>
      </c>
    </row>
    <row r="41" spans="1:10" x14ac:dyDescent="0.3">
      <c r="A41">
        <v>39</v>
      </c>
      <c r="B41" t="s">
        <v>37</v>
      </c>
      <c r="C41">
        <v>50506</v>
      </c>
      <c r="D41" t="s">
        <v>30</v>
      </c>
      <c r="E41" s="3">
        <v>1148.5315052851579</v>
      </c>
      <c r="F41" s="3">
        <v>-24.474465594458689</v>
      </c>
      <c r="G41" s="3">
        <v>-460.73453528060321</v>
      </c>
      <c r="H41">
        <v>2</v>
      </c>
      <c r="I41" t="s">
        <v>23</v>
      </c>
      <c r="J41" t="s">
        <v>68</v>
      </c>
    </row>
    <row r="42" spans="1:10" x14ac:dyDescent="0.3">
      <c r="A42">
        <v>40</v>
      </c>
      <c r="B42" t="s">
        <v>37</v>
      </c>
      <c r="C42">
        <v>50507</v>
      </c>
      <c r="D42" t="s">
        <v>31</v>
      </c>
      <c r="E42" s="3">
        <v>676.54342551425839</v>
      </c>
      <c r="F42" s="3">
        <v>-28.700451429727739</v>
      </c>
      <c r="G42" s="3">
        <v>-1093.9450223237261</v>
      </c>
      <c r="H42">
        <v>2</v>
      </c>
      <c r="I42" t="s">
        <v>23</v>
      </c>
      <c r="J42" t="s">
        <v>68</v>
      </c>
    </row>
    <row r="43" spans="1:10" x14ac:dyDescent="0.3">
      <c r="A43">
        <v>41</v>
      </c>
      <c r="B43" t="s">
        <v>37</v>
      </c>
      <c r="C43">
        <v>50509</v>
      </c>
      <c r="D43" t="s">
        <v>32</v>
      </c>
      <c r="E43" s="3">
        <v>487.74230356981661</v>
      </c>
      <c r="F43" s="3">
        <v>-400.99924637652032</v>
      </c>
      <c r="G43" s="3">
        <v>439.64610447862822</v>
      </c>
      <c r="H43">
        <v>2</v>
      </c>
      <c r="I43" t="s">
        <v>23</v>
      </c>
      <c r="J43" t="s">
        <v>68</v>
      </c>
    </row>
    <row r="44" spans="1:10" x14ac:dyDescent="0.3">
      <c r="A44">
        <v>42</v>
      </c>
      <c r="B44" t="s">
        <v>37</v>
      </c>
      <c r="C44">
        <v>50057</v>
      </c>
      <c r="D44" t="s">
        <v>33</v>
      </c>
      <c r="E44" s="3">
        <v>381.6099569698095</v>
      </c>
      <c r="F44" s="3">
        <v>-99.133949025333038</v>
      </c>
      <c r="G44" s="3">
        <v>-132.2563981615028</v>
      </c>
      <c r="H44">
        <v>2</v>
      </c>
      <c r="I44" t="s">
        <v>23</v>
      </c>
      <c r="J44" t="s">
        <v>68</v>
      </c>
    </row>
    <row r="45" spans="1:10" x14ac:dyDescent="0.3">
      <c r="A45">
        <v>43</v>
      </c>
      <c r="B45" t="s">
        <v>37</v>
      </c>
      <c r="C45">
        <v>50087</v>
      </c>
      <c r="D45" t="s">
        <v>34</v>
      </c>
      <c r="E45" s="3">
        <v>1197.949962525498</v>
      </c>
      <c r="F45" s="3">
        <v>-632.81777036053836</v>
      </c>
      <c r="G45" s="3">
        <v>-975.22963497614842</v>
      </c>
      <c r="H45">
        <v>2</v>
      </c>
      <c r="I45" t="s">
        <v>23</v>
      </c>
      <c r="J45" t="s">
        <v>68</v>
      </c>
    </row>
    <row r="46" spans="1:10" x14ac:dyDescent="0.3">
      <c r="A46">
        <v>44</v>
      </c>
      <c r="B46" t="s">
        <v>37</v>
      </c>
      <c r="C46">
        <v>50092</v>
      </c>
      <c r="D46" t="s">
        <v>35</v>
      </c>
      <c r="E46" s="3">
        <v>532.51762782286357</v>
      </c>
      <c r="F46" s="3">
        <v>-95.337275713267246</v>
      </c>
      <c r="G46" s="3">
        <v>-862.3774171758082</v>
      </c>
      <c r="H46">
        <v>2</v>
      </c>
      <c r="I46" t="s">
        <v>23</v>
      </c>
      <c r="J46" t="s">
        <v>68</v>
      </c>
    </row>
    <row r="47" spans="1:10" x14ac:dyDescent="0.3">
      <c r="A47">
        <v>45</v>
      </c>
      <c r="B47" t="s">
        <v>37</v>
      </c>
      <c r="C47">
        <v>50096</v>
      </c>
      <c r="D47" t="s">
        <v>36</v>
      </c>
      <c r="E47" s="3">
        <v>424.75942446492002</v>
      </c>
      <c r="F47" s="3">
        <v>3.588068968872784</v>
      </c>
      <c r="G47" s="3">
        <v>303.83361535293938</v>
      </c>
      <c r="H47">
        <v>2</v>
      </c>
      <c r="I47" t="s">
        <v>23</v>
      </c>
      <c r="J47" t="s">
        <v>68</v>
      </c>
    </row>
    <row r="48" spans="1:10" x14ac:dyDescent="0.3">
      <c r="A48">
        <v>46</v>
      </c>
      <c r="B48" t="s">
        <v>39</v>
      </c>
      <c r="C48">
        <v>1006</v>
      </c>
      <c r="D48" t="s">
        <v>42</v>
      </c>
      <c r="E48" s="3">
        <v>575.61900000000003</v>
      </c>
      <c r="F48" s="3">
        <v>-53.328000000000003</v>
      </c>
      <c r="G48" s="3">
        <v>347.63600000000002</v>
      </c>
      <c r="H48">
        <v>3</v>
      </c>
      <c r="I48" t="s">
        <v>17</v>
      </c>
    </row>
    <row r="49" spans="1:10" x14ac:dyDescent="0.3">
      <c r="A49">
        <v>47</v>
      </c>
      <c r="B49" t="s">
        <v>39</v>
      </c>
      <c r="C49">
        <v>1019</v>
      </c>
      <c r="D49" t="s">
        <v>43</v>
      </c>
      <c r="E49" s="3">
        <v>1296.748</v>
      </c>
      <c r="F49" s="3">
        <v>-46.201999999999998</v>
      </c>
      <c r="G49" s="3">
        <v>-489.10899999999998</v>
      </c>
      <c r="H49">
        <v>3</v>
      </c>
      <c r="I49" t="s">
        <v>17</v>
      </c>
    </row>
    <row r="50" spans="1:10" x14ac:dyDescent="0.3">
      <c r="A50">
        <v>48</v>
      </c>
      <c r="B50" t="s">
        <v>39</v>
      </c>
      <c r="C50">
        <v>1033</v>
      </c>
      <c r="D50" t="s">
        <v>44</v>
      </c>
      <c r="E50" s="3">
        <v>604.67499999999995</v>
      </c>
      <c r="F50" s="3">
        <v>-44.378</v>
      </c>
      <c r="G50" s="3">
        <v>-1114.771</v>
      </c>
      <c r="H50">
        <v>3</v>
      </c>
      <c r="I50" t="s">
        <v>17</v>
      </c>
    </row>
    <row r="51" spans="1:10" x14ac:dyDescent="0.3">
      <c r="A51">
        <v>49</v>
      </c>
      <c r="B51" t="s">
        <v>39</v>
      </c>
      <c r="C51">
        <v>1007</v>
      </c>
      <c r="D51" t="s">
        <v>45</v>
      </c>
      <c r="E51" s="3">
        <v>-115.661</v>
      </c>
      <c r="F51" s="3">
        <v>-51.561000000000007</v>
      </c>
      <c r="G51" s="3">
        <v>-282.916</v>
      </c>
      <c r="H51">
        <v>3</v>
      </c>
      <c r="I51" t="s">
        <v>17</v>
      </c>
    </row>
    <row r="52" spans="1:10" x14ac:dyDescent="0.3">
      <c r="A52">
        <v>50</v>
      </c>
      <c r="B52" t="s">
        <v>39</v>
      </c>
      <c r="C52">
        <v>50501</v>
      </c>
      <c r="D52" t="s">
        <v>67</v>
      </c>
      <c r="E52" s="3">
        <v>-7.7376603153700207E-2</v>
      </c>
      <c r="F52" s="3">
        <v>-0.30573165029377353</v>
      </c>
      <c r="G52" s="3">
        <v>4.1111662464043082E-2</v>
      </c>
      <c r="H52">
        <v>3</v>
      </c>
      <c r="I52" t="s">
        <v>11</v>
      </c>
      <c r="J52" t="s">
        <v>68</v>
      </c>
    </row>
    <row r="53" spans="1:10" x14ac:dyDescent="0.3">
      <c r="A53">
        <v>51</v>
      </c>
      <c r="B53" t="s">
        <v>39</v>
      </c>
      <c r="C53">
        <v>50502</v>
      </c>
      <c r="D53" t="s">
        <v>69</v>
      </c>
      <c r="E53" s="3">
        <v>172.072621875544</v>
      </c>
      <c r="F53" s="3">
        <v>0.16553088526700191</v>
      </c>
      <c r="G53" s="3">
        <v>-175.22070742950751</v>
      </c>
      <c r="H53">
        <v>3</v>
      </c>
      <c r="I53" t="s">
        <v>11</v>
      </c>
      <c r="J53" t="s">
        <v>68</v>
      </c>
    </row>
    <row r="54" spans="1:10" x14ac:dyDescent="0.3">
      <c r="A54">
        <v>52</v>
      </c>
      <c r="B54" t="s">
        <v>39</v>
      </c>
      <c r="C54">
        <v>50503</v>
      </c>
      <c r="D54" t="s">
        <v>70</v>
      </c>
      <c r="E54" s="3">
        <v>170.63111248273211</v>
      </c>
      <c r="F54" s="3">
        <v>-0.71543467004776828</v>
      </c>
      <c r="G54" s="3">
        <v>-0.91941013823438089</v>
      </c>
      <c r="H54">
        <v>3</v>
      </c>
      <c r="I54" t="s">
        <v>11</v>
      </c>
      <c r="J54" t="s">
        <v>68</v>
      </c>
    </row>
    <row r="55" spans="1:10" x14ac:dyDescent="0.3">
      <c r="A55">
        <v>53</v>
      </c>
      <c r="B55" t="s">
        <v>39</v>
      </c>
      <c r="C55">
        <v>50504</v>
      </c>
      <c r="D55" t="s">
        <v>71</v>
      </c>
      <c r="E55" s="3">
        <v>346.38507551961948</v>
      </c>
      <c r="F55" s="3">
        <v>-4.212675135630517E-2</v>
      </c>
      <c r="G55" s="3">
        <v>9.0223599843837321E-2</v>
      </c>
      <c r="H55">
        <v>3</v>
      </c>
      <c r="I55" t="s">
        <v>11</v>
      </c>
      <c r="J55" t="s">
        <v>68</v>
      </c>
    </row>
    <row r="56" spans="1:10" x14ac:dyDescent="0.3">
      <c r="A56">
        <v>54</v>
      </c>
      <c r="B56" t="s">
        <v>39</v>
      </c>
      <c r="C56">
        <v>50505</v>
      </c>
      <c r="D56" t="s">
        <v>72</v>
      </c>
      <c r="E56" s="3">
        <v>169.7889749766409</v>
      </c>
      <c r="F56" s="3">
        <v>-0.41131683026139421</v>
      </c>
      <c r="G56" s="3">
        <v>175.19930180799909</v>
      </c>
      <c r="H56">
        <v>3</v>
      </c>
      <c r="I56" t="s">
        <v>11</v>
      </c>
      <c r="J56" t="s">
        <v>68</v>
      </c>
    </row>
    <row r="57" spans="1:10" x14ac:dyDescent="0.3">
      <c r="A57">
        <v>55</v>
      </c>
      <c r="B57" t="s">
        <v>39</v>
      </c>
      <c r="C57">
        <v>50116</v>
      </c>
      <c r="D57" t="s">
        <v>22</v>
      </c>
      <c r="E57" s="3">
        <v>1012.185481172438</v>
      </c>
      <c r="F57" s="3">
        <v>-624.22094837489942</v>
      </c>
      <c r="G57" s="3">
        <v>-1135.827243633682</v>
      </c>
      <c r="H57">
        <v>3</v>
      </c>
      <c r="I57" t="s">
        <v>23</v>
      </c>
      <c r="J57" t="s">
        <v>68</v>
      </c>
    </row>
    <row r="58" spans="1:10" x14ac:dyDescent="0.3">
      <c r="A58">
        <v>56</v>
      </c>
      <c r="B58" t="s">
        <v>39</v>
      </c>
      <c r="C58">
        <v>50121</v>
      </c>
      <c r="D58" t="s">
        <v>24</v>
      </c>
      <c r="E58" s="3">
        <v>635.31966078653454</v>
      </c>
      <c r="F58" s="3">
        <v>-99.798173079431351</v>
      </c>
      <c r="G58" s="3">
        <v>96.231786950388468</v>
      </c>
      <c r="H58">
        <v>3</v>
      </c>
      <c r="I58" t="s">
        <v>23</v>
      </c>
      <c r="J58" t="s">
        <v>68</v>
      </c>
    </row>
    <row r="59" spans="1:10" x14ac:dyDescent="0.3">
      <c r="A59">
        <v>57</v>
      </c>
      <c r="B59" t="s">
        <v>39</v>
      </c>
      <c r="C59">
        <v>50013</v>
      </c>
      <c r="D59" t="s">
        <v>25</v>
      </c>
      <c r="E59" s="3">
        <v>279.73308449720957</v>
      </c>
      <c r="F59" s="3">
        <v>2.8700795186425032</v>
      </c>
      <c r="G59" s="3">
        <v>200.92583823676421</v>
      </c>
      <c r="H59">
        <v>3</v>
      </c>
      <c r="I59" t="s">
        <v>23</v>
      </c>
      <c r="J59" t="s">
        <v>68</v>
      </c>
    </row>
    <row r="60" spans="1:10" x14ac:dyDescent="0.3">
      <c r="A60">
        <v>58</v>
      </c>
      <c r="B60" t="s">
        <v>39</v>
      </c>
      <c r="C60">
        <v>50034</v>
      </c>
      <c r="D60" t="s">
        <v>26</v>
      </c>
      <c r="E60" s="3">
        <v>757.71736914674432</v>
      </c>
      <c r="F60" s="3">
        <v>-94.416232927920987</v>
      </c>
      <c r="G60" s="3">
        <v>-665.63434890805411</v>
      </c>
      <c r="H60">
        <v>3</v>
      </c>
      <c r="I60" t="s">
        <v>23</v>
      </c>
      <c r="J60" t="s">
        <v>68</v>
      </c>
    </row>
    <row r="61" spans="1:10" x14ac:dyDescent="0.3">
      <c r="A61">
        <v>59</v>
      </c>
      <c r="B61" t="s">
        <v>39</v>
      </c>
      <c r="C61">
        <v>50037</v>
      </c>
      <c r="D61" t="s">
        <v>27</v>
      </c>
      <c r="E61" s="3">
        <v>33.286513739252747</v>
      </c>
      <c r="F61" s="3">
        <v>-98.917418080661349</v>
      </c>
      <c r="G61" s="3">
        <v>-390.71354603937158</v>
      </c>
      <c r="H61">
        <v>3</v>
      </c>
      <c r="I61" t="s">
        <v>23</v>
      </c>
      <c r="J61" t="s">
        <v>68</v>
      </c>
    </row>
    <row r="62" spans="1:10" x14ac:dyDescent="0.3">
      <c r="A62">
        <v>61</v>
      </c>
      <c r="B62" t="s">
        <v>39</v>
      </c>
      <c r="C62">
        <v>50004</v>
      </c>
      <c r="D62" t="s">
        <v>29</v>
      </c>
      <c r="E62" s="3">
        <v>1045.8655880460699</v>
      </c>
      <c r="F62" s="3">
        <v>-511.9830990138812</v>
      </c>
      <c r="G62" s="3">
        <v>-1105.5535491752239</v>
      </c>
      <c r="H62">
        <v>3</v>
      </c>
      <c r="I62" t="s">
        <v>23</v>
      </c>
      <c r="J62" t="s">
        <v>68</v>
      </c>
    </row>
    <row r="63" spans="1:10" x14ac:dyDescent="0.3">
      <c r="A63">
        <v>60</v>
      </c>
      <c r="B63" t="s">
        <v>39</v>
      </c>
      <c r="C63">
        <v>50042</v>
      </c>
      <c r="D63" t="s">
        <v>28</v>
      </c>
      <c r="E63" s="3">
        <v>1083.1619520490999</v>
      </c>
      <c r="F63" s="3">
        <v>-96.44995831750181</v>
      </c>
      <c r="G63" s="3">
        <v>-356.40452103232712</v>
      </c>
      <c r="H63">
        <v>3</v>
      </c>
      <c r="I63" t="s">
        <v>23</v>
      </c>
      <c r="J63" t="s">
        <v>68</v>
      </c>
    </row>
    <row r="64" spans="1:10" x14ac:dyDescent="0.3">
      <c r="A64">
        <v>62</v>
      </c>
      <c r="B64" t="s">
        <v>39</v>
      </c>
      <c r="C64">
        <v>50506</v>
      </c>
      <c r="D64" t="s">
        <v>30</v>
      </c>
      <c r="E64" s="3">
        <v>1148.4091212542839</v>
      </c>
      <c r="F64" s="3">
        <v>-22.99739697606465</v>
      </c>
      <c r="G64" s="3">
        <v>-460.40703038658478</v>
      </c>
      <c r="H64">
        <v>3</v>
      </c>
      <c r="I64" t="s">
        <v>23</v>
      </c>
      <c r="J64" t="s">
        <v>68</v>
      </c>
    </row>
    <row r="65" spans="1:10" x14ac:dyDescent="0.3">
      <c r="A65">
        <v>63</v>
      </c>
      <c r="B65" t="s">
        <v>39</v>
      </c>
      <c r="C65">
        <v>50507</v>
      </c>
      <c r="D65" t="s">
        <v>31</v>
      </c>
      <c r="E65" s="3">
        <v>676.44068977414247</v>
      </c>
      <c r="F65" s="3">
        <v>-27.0490624010096</v>
      </c>
      <c r="G65" s="3">
        <v>-1093.633301949088</v>
      </c>
      <c r="H65">
        <v>3</v>
      </c>
      <c r="I65" t="s">
        <v>23</v>
      </c>
      <c r="J65" t="s">
        <v>68</v>
      </c>
    </row>
    <row r="66" spans="1:10" x14ac:dyDescent="0.3">
      <c r="A66">
        <v>64</v>
      </c>
      <c r="B66" t="s">
        <v>39</v>
      </c>
      <c r="C66">
        <v>50509</v>
      </c>
      <c r="D66" t="s">
        <v>32</v>
      </c>
      <c r="E66" s="3">
        <v>488.18077326458632</v>
      </c>
      <c r="F66" s="3">
        <v>-401.81379053380488</v>
      </c>
      <c r="G66" s="3">
        <v>439.4236451199364</v>
      </c>
      <c r="H66">
        <v>3</v>
      </c>
      <c r="I66" t="s">
        <v>23</v>
      </c>
      <c r="J66" t="s">
        <v>68</v>
      </c>
    </row>
    <row r="67" spans="1:10" x14ac:dyDescent="0.3">
      <c r="A67">
        <v>65</v>
      </c>
      <c r="B67" t="s">
        <v>39</v>
      </c>
      <c r="C67">
        <v>50057</v>
      </c>
      <c r="D67" t="s">
        <v>33</v>
      </c>
      <c r="E67" s="3">
        <v>381.59654673888127</v>
      </c>
      <c r="F67" s="3">
        <v>-99.300258853438748</v>
      </c>
      <c r="G67" s="3">
        <v>-132.0521383319782</v>
      </c>
      <c r="H67">
        <v>3</v>
      </c>
      <c r="I67" t="s">
        <v>23</v>
      </c>
      <c r="J67" t="s">
        <v>68</v>
      </c>
    </row>
    <row r="68" spans="1:10" x14ac:dyDescent="0.3">
      <c r="A68">
        <v>66</v>
      </c>
      <c r="B68" t="s">
        <v>39</v>
      </c>
      <c r="C68">
        <v>50087</v>
      </c>
      <c r="D68" t="s">
        <v>34</v>
      </c>
      <c r="E68" s="3">
        <v>1198.771621640117</v>
      </c>
      <c r="F68" s="3">
        <v>-630.53318822169513</v>
      </c>
      <c r="G68" s="3">
        <v>-975.7640414875234</v>
      </c>
      <c r="H68">
        <v>3</v>
      </c>
      <c r="I68" t="s">
        <v>23</v>
      </c>
      <c r="J68" t="s">
        <v>68</v>
      </c>
    </row>
    <row r="69" spans="1:10" x14ac:dyDescent="0.3">
      <c r="A69">
        <v>67</v>
      </c>
      <c r="B69" t="s">
        <v>39</v>
      </c>
      <c r="C69">
        <v>50092</v>
      </c>
      <c r="D69" t="s">
        <v>35</v>
      </c>
      <c r="E69" s="3">
        <v>532.51274547899538</v>
      </c>
      <c r="F69" s="3">
        <v>-94.235538120673553</v>
      </c>
      <c r="G69" s="3">
        <v>-862.16369954625839</v>
      </c>
      <c r="H69">
        <v>3</v>
      </c>
      <c r="I69" t="s">
        <v>23</v>
      </c>
      <c r="J69" t="s">
        <v>68</v>
      </c>
    </row>
    <row r="70" spans="1:10" x14ac:dyDescent="0.3">
      <c r="A70">
        <v>68</v>
      </c>
      <c r="B70" t="s">
        <v>39</v>
      </c>
      <c r="C70">
        <v>50096</v>
      </c>
      <c r="D70" t="s">
        <v>36</v>
      </c>
      <c r="E70" s="3">
        <v>424.57959527673432</v>
      </c>
      <c r="F70" s="3">
        <v>2.8687434887115368</v>
      </c>
      <c r="G70" s="3">
        <v>304.18419888873331</v>
      </c>
      <c r="H70">
        <v>3</v>
      </c>
      <c r="I70" t="s">
        <v>23</v>
      </c>
      <c r="J70" t="s">
        <v>68</v>
      </c>
    </row>
    <row r="71" spans="1:10" x14ac:dyDescent="0.3">
      <c r="A71">
        <v>69</v>
      </c>
      <c r="B71" t="s">
        <v>40</v>
      </c>
      <c r="C71">
        <v>1003</v>
      </c>
      <c r="D71" t="s">
        <v>42</v>
      </c>
      <c r="E71" s="3">
        <v>575.23900000000003</v>
      </c>
      <c r="F71" s="3">
        <v>-53.573</v>
      </c>
      <c r="G71" s="3">
        <v>348.10599999999999</v>
      </c>
      <c r="H71">
        <v>4</v>
      </c>
      <c r="I71" t="s">
        <v>17</v>
      </c>
    </row>
    <row r="72" spans="1:10" x14ac:dyDescent="0.3">
      <c r="A72">
        <v>70</v>
      </c>
      <c r="B72" t="s">
        <v>40</v>
      </c>
      <c r="C72">
        <v>1012</v>
      </c>
      <c r="D72" t="s">
        <v>43</v>
      </c>
      <c r="E72" s="3">
        <v>1296.3</v>
      </c>
      <c r="F72" s="3">
        <v>-48.923000000000002</v>
      </c>
      <c r="G72" s="3">
        <v>-488.63900000000001</v>
      </c>
      <c r="H72">
        <v>4</v>
      </c>
      <c r="I72" t="s">
        <v>17</v>
      </c>
    </row>
    <row r="73" spans="1:10" x14ac:dyDescent="0.3">
      <c r="A73">
        <v>71</v>
      </c>
      <c r="B73" t="s">
        <v>40</v>
      </c>
      <c r="C73">
        <v>1047</v>
      </c>
      <c r="D73" t="s">
        <v>44</v>
      </c>
      <c r="E73" s="3">
        <v>604.21</v>
      </c>
      <c r="F73" s="3">
        <v>-47.222000000000001</v>
      </c>
      <c r="G73" s="3">
        <v>-1114.2760000000001</v>
      </c>
      <c r="H73">
        <v>4</v>
      </c>
      <c r="I73" t="s">
        <v>17</v>
      </c>
    </row>
    <row r="74" spans="1:10" x14ac:dyDescent="0.3">
      <c r="A74">
        <v>72</v>
      </c>
      <c r="B74" t="s">
        <v>40</v>
      </c>
      <c r="C74">
        <v>1002</v>
      </c>
      <c r="D74" t="s">
        <v>45</v>
      </c>
      <c r="E74" s="3">
        <v>-116.108</v>
      </c>
      <c r="F74" s="3">
        <v>-51.790999999999997</v>
      </c>
      <c r="G74" s="3">
        <v>-282.327</v>
      </c>
      <c r="H74">
        <v>4</v>
      </c>
      <c r="I74" t="s">
        <v>17</v>
      </c>
    </row>
    <row r="75" spans="1:10" x14ac:dyDescent="0.3">
      <c r="A75">
        <v>73</v>
      </c>
      <c r="B75" t="s">
        <v>40</v>
      </c>
      <c r="C75">
        <v>50501</v>
      </c>
      <c r="D75" t="s">
        <v>67</v>
      </c>
      <c r="E75" s="3">
        <v>-0.41034123059785549</v>
      </c>
      <c r="F75" s="3">
        <v>-0.25286026324125432</v>
      </c>
      <c r="G75" s="3">
        <v>0.50325121219769819</v>
      </c>
      <c r="H75">
        <v>4</v>
      </c>
      <c r="I75" t="s">
        <v>11</v>
      </c>
      <c r="J75" t="s">
        <v>68</v>
      </c>
    </row>
    <row r="76" spans="1:10" x14ac:dyDescent="0.3">
      <c r="A76">
        <v>74</v>
      </c>
      <c r="B76" t="s">
        <v>40</v>
      </c>
      <c r="C76">
        <v>50502</v>
      </c>
      <c r="D76" t="s">
        <v>69</v>
      </c>
      <c r="E76" s="3">
        <v>171.72737115692391</v>
      </c>
      <c r="F76" s="3">
        <v>-0.34747966492912669</v>
      </c>
      <c r="G76" s="3">
        <v>-174.77124298812711</v>
      </c>
      <c r="H76">
        <v>4</v>
      </c>
      <c r="I76" t="s">
        <v>11</v>
      </c>
      <c r="J76" t="s">
        <v>68</v>
      </c>
    </row>
    <row r="77" spans="1:10" x14ac:dyDescent="0.3">
      <c r="A77">
        <v>75</v>
      </c>
      <c r="B77" t="s">
        <v>40</v>
      </c>
      <c r="C77">
        <v>50503</v>
      </c>
      <c r="D77" t="s">
        <v>70</v>
      </c>
      <c r="E77" s="3">
        <v>170.29726498016959</v>
      </c>
      <c r="F77" s="3">
        <v>-0.92177503796113991</v>
      </c>
      <c r="G77" s="3">
        <v>-0.46857155648284787</v>
      </c>
      <c r="H77">
        <v>4</v>
      </c>
      <c r="I77" t="s">
        <v>11</v>
      </c>
      <c r="J77" t="s">
        <v>68</v>
      </c>
    </row>
    <row r="78" spans="1:10" x14ac:dyDescent="0.3">
      <c r="A78">
        <v>76</v>
      </c>
      <c r="B78" t="s">
        <v>40</v>
      </c>
      <c r="C78">
        <v>50504</v>
      </c>
      <c r="D78" t="s">
        <v>71</v>
      </c>
      <c r="E78" s="3">
        <v>346.05211700308769</v>
      </c>
      <c r="F78" s="3">
        <v>-0.51185174610331452</v>
      </c>
      <c r="G78" s="3">
        <v>0.52751092352900997</v>
      </c>
      <c r="H78">
        <v>4</v>
      </c>
      <c r="I78" t="s">
        <v>11</v>
      </c>
      <c r="J78" t="s">
        <v>68</v>
      </c>
    </row>
    <row r="79" spans="1:10" x14ac:dyDescent="0.3">
      <c r="A79">
        <v>77</v>
      </c>
      <c r="B79" t="s">
        <v>40</v>
      </c>
      <c r="C79">
        <v>50505</v>
      </c>
      <c r="D79" t="s">
        <v>72</v>
      </c>
      <c r="E79" s="3">
        <v>169.46845044219859</v>
      </c>
      <c r="F79" s="3">
        <v>-0.30871949309735353</v>
      </c>
      <c r="G79" s="3">
        <v>175.6493991625797</v>
      </c>
      <c r="H79">
        <v>4</v>
      </c>
      <c r="I79" t="s">
        <v>11</v>
      </c>
      <c r="J79" t="s">
        <v>68</v>
      </c>
    </row>
    <row r="80" spans="1:10" x14ac:dyDescent="0.3">
      <c r="A80">
        <v>78</v>
      </c>
      <c r="B80" t="s">
        <v>40</v>
      </c>
      <c r="C80">
        <v>50116</v>
      </c>
      <c r="D80" t="s">
        <v>22</v>
      </c>
      <c r="E80" s="3">
        <v>1010.82722615245</v>
      </c>
      <c r="F80" s="3">
        <v>-627.67782758216219</v>
      </c>
      <c r="G80" s="3">
        <v>-1134.3446258857671</v>
      </c>
      <c r="H80">
        <v>4</v>
      </c>
      <c r="I80" t="s">
        <v>23</v>
      </c>
      <c r="J80" t="s">
        <v>68</v>
      </c>
    </row>
    <row r="81" spans="1:10" x14ac:dyDescent="0.3">
      <c r="A81">
        <v>79</v>
      </c>
      <c r="B81" t="s">
        <v>40</v>
      </c>
      <c r="C81">
        <v>50121</v>
      </c>
      <c r="D81" t="s">
        <v>24</v>
      </c>
      <c r="E81" s="3">
        <v>634.84291284103904</v>
      </c>
      <c r="F81" s="3">
        <v>-100.5355727883869</v>
      </c>
      <c r="G81" s="3">
        <v>96.82286394743241</v>
      </c>
      <c r="H81">
        <v>4</v>
      </c>
      <c r="I81" t="s">
        <v>23</v>
      </c>
      <c r="J81" t="s">
        <v>68</v>
      </c>
    </row>
    <row r="82" spans="1:10" x14ac:dyDescent="0.3">
      <c r="A82">
        <v>80</v>
      </c>
      <c r="B82" t="s">
        <v>40</v>
      </c>
      <c r="C82">
        <v>50013</v>
      </c>
      <c r="D82" t="s">
        <v>25</v>
      </c>
      <c r="E82" s="3">
        <v>279.41926355646962</v>
      </c>
      <c r="F82" s="3">
        <v>2.8517464247733231</v>
      </c>
      <c r="G82" s="3">
        <v>201.36242324732399</v>
      </c>
      <c r="H82">
        <v>4</v>
      </c>
      <c r="I82" t="s">
        <v>23</v>
      </c>
      <c r="J82" t="s">
        <v>68</v>
      </c>
    </row>
    <row r="83" spans="1:10" x14ac:dyDescent="0.3">
      <c r="A83">
        <v>81</v>
      </c>
      <c r="B83" t="s">
        <v>40</v>
      </c>
      <c r="C83">
        <v>50034</v>
      </c>
      <c r="D83" t="s">
        <v>26</v>
      </c>
      <c r="E83" s="3">
        <v>757.19295556680015</v>
      </c>
      <c r="F83" s="3">
        <v>-96.669230130573624</v>
      </c>
      <c r="G83" s="3">
        <v>-665.06012687133966</v>
      </c>
      <c r="H83">
        <v>4</v>
      </c>
      <c r="I83" t="s">
        <v>23</v>
      </c>
      <c r="J83" t="s">
        <v>68</v>
      </c>
    </row>
    <row r="84" spans="1:10" x14ac:dyDescent="0.3">
      <c r="A84">
        <v>82</v>
      </c>
      <c r="B84" t="s">
        <v>40</v>
      </c>
      <c r="C84">
        <v>50037</v>
      </c>
      <c r="D84" t="s">
        <v>27</v>
      </c>
      <c r="E84" s="3">
        <v>32.776215797590758</v>
      </c>
      <c r="F84" s="3">
        <v>-99.597240781459448</v>
      </c>
      <c r="G84" s="3">
        <v>-390.08087914535571</v>
      </c>
      <c r="H84">
        <v>4</v>
      </c>
      <c r="I84" t="s">
        <v>23</v>
      </c>
      <c r="J84" t="s">
        <v>68</v>
      </c>
    </row>
    <row r="85" spans="1:10" x14ac:dyDescent="0.3">
      <c r="A85">
        <v>84</v>
      </c>
      <c r="B85" t="s">
        <v>40</v>
      </c>
      <c r="C85">
        <v>50004</v>
      </c>
      <c r="D85" t="s">
        <v>29</v>
      </c>
      <c r="E85" s="3">
        <v>1044.678816346046</v>
      </c>
      <c r="F85" s="3">
        <v>-515.43820162187535</v>
      </c>
      <c r="G85" s="3">
        <v>-1104.2694332840611</v>
      </c>
      <c r="H85">
        <v>4</v>
      </c>
      <c r="I85" t="s">
        <v>23</v>
      </c>
      <c r="J85" t="s">
        <v>68</v>
      </c>
    </row>
    <row r="86" spans="1:10" x14ac:dyDescent="0.3">
      <c r="A86">
        <v>83</v>
      </c>
      <c r="B86" t="s">
        <v>40</v>
      </c>
      <c r="C86">
        <v>50042</v>
      </c>
      <c r="D86" t="s">
        <v>28</v>
      </c>
      <c r="E86" s="3">
        <v>1082.6566847751949</v>
      </c>
      <c r="F86" s="3">
        <v>-98.653718928513683</v>
      </c>
      <c r="G86" s="3">
        <v>-355.85013058810858</v>
      </c>
      <c r="H86">
        <v>4</v>
      </c>
      <c r="I86" t="s">
        <v>23</v>
      </c>
      <c r="J86" t="s">
        <v>68</v>
      </c>
    </row>
    <row r="87" spans="1:10" x14ac:dyDescent="0.3">
      <c r="A87">
        <v>85</v>
      </c>
      <c r="B87" t="s">
        <v>40</v>
      </c>
      <c r="C87">
        <v>50506</v>
      </c>
      <c r="D87" t="s">
        <v>30</v>
      </c>
      <c r="E87" s="3">
        <v>1148.0069865735759</v>
      </c>
      <c r="F87" s="3">
        <v>-25.481472367865209</v>
      </c>
      <c r="G87" s="3">
        <v>-459.98539933514837</v>
      </c>
      <c r="H87">
        <v>4</v>
      </c>
      <c r="I87" t="s">
        <v>23</v>
      </c>
      <c r="J87" t="s">
        <v>68</v>
      </c>
    </row>
    <row r="88" spans="1:10" x14ac:dyDescent="0.3">
      <c r="A88">
        <v>86</v>
      </c>
      <c r="B88" t="s">
        <v>40</v>
      </c>
      <c r="C88">
        <v>50507</v>
      </c>
      <c r="D88" t="s">
        <v>31</v>
      </c>
      <c r="E88" s="3">
        <v>675.98673224216645</v>
      </c>
      <c r="F88" s="3">
        <v>-29.927309739230481</v>
      </c>
      <c r="G88" s="3">
        <v>-1093.170397052616</v>
      </c>
      <c r="H88">
        <v>4</v>
      </c>
      <c r="I88" t="s">
        <v>23</v>
      </c>
      <c r="J88" t="s">
        <v>68</v>
      </c>
    </row>
    <row r="89" spans="1:10" x14ac:dyDescent="0.3">
      <c r="A89">
        <v>87</v>
      </c>
      <c r="B89" t="s">
        <v>40</v>
      </c>
      <c r="C89">
        <v>50509</v>
      </c>
      <c r="D89" t="s">
        <v>32</v>
      </c>
      <c r="E89" s="3">
        <v>487.27366886736212</v>
      </c>
      <c r="F89" s="3">
        <v>-401.72887442394438</v>
      </c>
      <c r="G89" s="3">
        <v>440.55219089571528</v>
      </c>
      <c r="H89">
        <v>4</v>
      </c>
      <c r="I89" t="s">
        <v>23</v>
      </c>
      <c r="J89" t="s">
        <v>68</v>
      </c>
    </row>
    <row r="90" spans="1:10" x14ac:dyDescent="0.3">
      <c r="A90">
        <v>88</v>
      </c>
      <c r="B90" t="s">
        <v>40</v>
      </c>
      <c r="C90">
        <v>50057</v>
      </c>
      <c r="D90" t="s">
        <v>33</v>
      </c>
      <c r="E90" s="3">
        <v>381.10416599907722</v>
      </c>
      <c r="F90" s="3">
        <v>-100.0536844939282</v>
      </c>
      <c r="G90" s="3">
        <v>-131.44371967286571</v>
      </c>
      <c r="H90">
        <v>4</v>
      </c>
      <c r="I90" t="s">
        <v>23</v>
      </c>
      <c r="J90" t="s">
        <v>68</v>
      </c>
    </row>
    <row r="91" spans="1:10" x14ac:dyDescent="0.3">
      <c r="A91">
        <v>89</v>
      </c>
      <c r="B91" t="s">
        <v>40</v>
      </c>
      <c r="C91">
        <v>50087</v>
      </c>
      <c r="D91" t="s">
        <v>34</v>
      </c>
      <c r="E91" s="3">
        <v>1197.415322418065</v>
      </c>
      <c r="F91" s="3">
        <v>-633.9919187871435</v>
      </c>
      <c r="G91" s="3">
        <v>-974.28377666891834</v>
      </c>
      <c r="H91">
        <v>4</v>
      </c>
      <c r="I91" t="s">
        <v>23</v>
      </c>
      <c r="J91" t="s">
        <v>68</v>
      </c>
    </row>
    <row r="92" spans="1:10" x14ac:dyDescent="0.3">
      <c r="A92">
        <v>90</v>
      </c>
      <c r="B92" t="s">
        <v>40</v>
      </c>
      <c r="C92">
        <v>50092</v>
      </c>
      <c r="D92" t="s">
        <v>35</v>
      </c>
      <c r="E92" s="3">
        <v>531.97450732620564</v>
      </c>
      <c r="F92" s="3">
        <v>-96.492110884305106</v>
      </c>
      <c r="G92" s="3">
        <v>-861.57363794651042</v>
      </c>
      <c r="H92">
        <v>4</v>
      </c>
      <c r="I92" t="s">
        <v>23</v>
      </c>
      <c r="J92" t="s">
        <v>68</v>
      </c>
    </row>
    <row r="93" spans="1:10" x14ac:dyDescent="0.3">
      <c r="A93">
        <v>91</v>
      </c>
      <c r="B93" t="s">
        <v>40</v>
      </c>
      <c r="C93">
        <v>50096</v>
      </c>
      <c r="D93" t="s">
        <v>36</v>
      </c>
      <c r="E93" s="3">
        <v>424.27314884859692</v>
      </c>
      <c r="F93" s="3">
        <v>2.8122772213555041</v>
      </c>
      <c r="G93" s="3">
        <v>304.61043092435972</v>
      </c>
      <c r="H93">
        <v>4</v>
      </c>
      <c r="I93" t="s">
        <v>23</v>
      </c>
      <c r="J93" t="s">
        <v>68</v>
      </c>
    </row>
    <row r="94" spans="1:10" x14ac:dyDescent="0.3">
      <c r="A94">
        <v>92</v>
      </c>
      <c r="B94" t="s">
        <v>41</v>
      </c>
      <c r="C94">
        <v>1008</v>
      </c>
      <c r="D94" t="s">
        <v>42</v>
      </c>
      <c r="E94" s="3">
        <v>575.51379999999995</v>
      </c>
      <c r="F94" s="3">
        <v>-53.621099999999998</v>
      </c>
      <c r="G94" s="3">
        <v>347.23570000000001</v>
      </c>
      <c r="H94">
        <v>5</v>
      </c>
      <c r="I94" t="s">
        <v>17</v>
      </c>
    </row>
    <row r="95" spans="1:10" x14ac:dyDescent="0.3">
      <c r="A95">
        <v>93</v>
      </c>
      <c r="B95" t="s">
        <v>41</v>
      </c>
      <c r="C95">
        <v>1011</v>
      </c>
      <c r="D95" t="s">
        <v>43</v>
      </c>
      <c r="E95" s="3">
        <v>1296.9179999999999</v>
      </c>
      <c r="F95" s="3">
        <v>-45.9604</v>
      </c>
      <c r="G95" s="3">
        <v>-489.16449999999998</v>
      </c>
      <c r="H95">
        <v>5</v>
      </c>
      <c r="I95" t="s">
        <v>17</v>
      </c>
    </row>
    <row r="96" spans="1:10" x14ac:dyDescent="0.3">
      <c r="A96">
        <v>94</v>
      </c>
      <c r="B96" t="s">
        <v>41</v>
      </c>
      <c r="C96">
        <v>1024</v>
      </c>
      <c r="D96" t="s">
        <v>44</v>
      </c>
      <c r="E96" s="3">
        <v>605.06370000000004</v>
      </c>
      <c r="F96" s="3">
        <v>-43.479500000000002</v>
      </c>
      <c r="G96" s="3">
        <v>-1115.0599</v>
      </c>
      <c r="H96">
        <v>5</v>
      </c>
      <c r="I96" t="s">
        <v>17</v>
      </c>
    </row>
    <row r="97" spans="1:9" x14ac:dyDescent="0.3">
      <c r="A97">
        <v>95</v>
      </c>
      <c r="B97" t="s">
        <v>41</v>
      </c>
      <c r="C97">
        <v>1003</v>
      </c>
      <c r="D97" t="s">
        <v>45</v>
      </c>
      <c r="E97" s="3">
        <v>-115.5342</v>
      </c>
      <c r="F97" s="3">
        <v>-50.821599999999997</v>
      </c>
      <c r="G97" s="3">
        <v>-283.488</v>
      </c>
      <c r="H97">
        <v>5</v>
      </c>
      <c r="I97" t="s">
        <v>17</v>
      </c>
    </row>
    <row r="98" spans="1:9" x14ac:dyDescent="0.3">
      <c r="A98">
        <v>96</v>
      </c>
      <c r="B98" t="s">
        <v>41</v>
      </c>
      <c r="C98">
        <v>501</v>
      </c>
      <c r="D98" t="s">
        <v>10</v>
      </c>
      <c r="E98" s="3">
        <v>-4.2999999999999997E-2</v>
      </c>
      <c r="F98" s="3">
        <v>5.2400000000000002E-2</v>
      </c>
      <c r="G98" s="3">
        <v>-0.4531</v>
      </c>
      <c r="H98">
        <v>5</v>
      </c>
      <c r="I98" t="s">
        <v>11</v>
      </c>
    </row>
    <row r="99" spans="1:9" x14ac:dyDescent="0.3">
      <c r="A99">
        <v>97</v>
      </c>
      <c r="B99" t="s">
        <v>41</v>
      </c>
      <c r="C99">
        <v>502</v>
      </c>
      <c r="D99" t="s">
        <v>12</v>
      </c>
      <c r="E99" s="3">
        <v>172.16810000000001</v>
      </c>
      <c r="F99" s="3">
        <v>0.58689999999999998</v>
      </c>
      <c r="G99" s="3">
        <v>-175.65469999999999</v>
      </c>
      <c r="H99">
        <v>5</v>
      </c>
      <c r="I99" t="s">
        <v>11</v>
      </c>
    </row>
    <row r="100" spans="1:9" x14ac:dyDescent="0.3">
      <c r="A100">
        <v>98</v>
      </c>
      <c r="B100" t="s">
        <v>41</v>
      </c>
      <c r="C100">
        <v>503</v>
      </c>
      <c r="D100" t="s">
        <v>13</v>
      </c>
      <c r="E100" s="3">
        <v>170.66560000000001</v>
      </c>
      <c r="F100" s="3">
        <v>-0.43719999999999998</v>
      </c>
      <c r="G100" s="3">
        <v>-1.3547</v>
      </c>
      <c r="H100">
        <v>5</v>
      </c>
      <c r="I100" t="s">
        <v>11</v>
      </c>
    </row>
    <row r="101" spans="1:9" x14ac:dyDescent="0.3">
      <c r="A101">
        <v>99</v>
      </c>
      <c r="B101" t="s">
        <v>41</v>
      </c>
      <c r="C101">
        <v>504</v>
      </c>
      <c r="D101" t="s">
        <v>14</v>
      </c>
      <c r="E101" s="3">
        <v>346.41950000000003</v>
      </c>
      <c r="F101" s="3">
        <v>0.1522</v>
      </c>
      <c r="G101" s="3">
        <v>-0.28349999999999997</v>
      </c>
      <c r="H101">
        <v>5</v>
      </c>
      <c r="I101" t="s">
        <v>11</v>
      </c>
    </row>
    <row r="102" spans="1:9" x14ac:dyDescent="0.3">
      <c r="A102">
        <v>100</v>
      </c>
      <c r="B102" t="s">
        <v>41</v>
      </c>
      <c r="C102">
        <v>505</v>
      </c>
      <c r="D102" t="s">
        <v>15</v>
      </c>
      <c r="E102" s="3">
        <v>169.76240000000001</v>
      </c>
      <c r="F102" s="3">
        <v>-0.27800000000000002</v>
      </c>
      <c r="G102" s="3">
        <v>174.76390000000001</v>
      </c>
      <c r="H102">
        <v>5</v>
      </c>
      <c r="I102" t="s">
        <v>11</v>
      </c>
    </row>
    <row r="103" spans="1:9" x14ac:dyDescent="0.3">
      <c r="A103">
        <v>101</v>
      </c>
      <c r="B103" t="s">
        <v>41</v>
      </c>
      <c r="C103">
        <v>116</v>
      </c>
      <c r="D103" t="s">
        <v>46</v>
      </c>
      <c r="E103" s="3">
        <v>1012.3197</v>
      </c>
      <c r="F103" s="3">
        <v>-623.40380000000005</v>
      </c>
      <c r="G103" s="3">
        <v>-1136.4845</v>
      </c>
      <c r="H103">
        <v>5</v>
      </c>
      <c r="I103" t="s">
        <v>23</v>
      </c>
    </row>
    <row r="104" spans="1:9" x14ac:dyDescent="0.3">
      <c r="A104">
        <v>102</v>
      </c>
      <c r="B104" t="s">
        <v>41</v>
      </c>
      <c r="C104">
        <v>121</v>
      </c>
      <c r="D104" t="s">
        <v>47</v>
      </c>
      <c r="E104" s="3">
        <v>635.27350000000001</v>
      </c>
      <c r="F104" s="3">
        <v>-99.819699999999997</v>
      </c>
      <c r="G104" s="3">
        <v>95.876000000000005</v>
      </c>
      <c r="H104">
        <v>5</v>
      </c>
      <c r="I104" t="s">
        <v>23</v>
      </c>
    </row>
    <row r="105" spans="1:9" x14ac:dyDescent="0.3">
      <c r="A105">
        <v>103</v>
      </c>
      <c r="B105" t="s">
        <v>41</v>
      </c>
      <c r="C105">
        <v>13</v>
      </c>
      <c r="D105" t="s">
        <v>48</v>
      </c>
      <c r="E105" s="3">
        <v>279.69909999999999</v>
      </c>
      <c r="F105" s="3">
        <v>2.9302000000000001</v>
      </c>
      <c r="G105" s="3">
        <v>200.53129999999999</v>
      </c>
      <c r="H105">
        <v>5</v>
      </c>
      <c r="I105" t="s">
        <v>23</v>
      </c>
    </row>
    <row r="106" spans="1:9" x14ac:dyDescent="0.3">
      <c r="A106">
        <v>104</v>
      </c>
      <c r="B106" t="s">
        <v>41</v>
      </c>
      <c r="C106">
        <v>34</v>
      </c>
      <c r="D106" t="s">
        <v>49</v>
      </c>
      <c r="E106" s="3">
        <v>757.93849999999998</v>
      </c>
      <c r="F106" s="3">
        <v>-93.867000000000004</v>
      </c>
      <c r="G106" s="3">
        <v>-665.94290000000001</v>
      </c>
      <c r="H106">
        <v>5</v>
      </c>
      <c r="I106" t="s">
        <v>23</v>
      </c>
    </row>
    <row r="107" spans="1:9" x14ac:dyDescent="0.3">
      <c r="A107">
        <v>105</v>
      </c>
      <c r="B107" t="s">
        <v>41</v>
      </c>
      <c r="C107">
        <v>37</v>
      </c>
      <c r="D107" t="s">
        <v>50</v>
      </c>
      <c r="E107" s="3">
        <v>33.4101</v>
      </c>
      <c r="F107" s="3">
        <v>-98.252600000000001</v>
      </c>
      <c r="G107" s="3">
        <v>-391.2774</v>
      </c>
      <c r="H107">
        <v>5</v>
      </c>
      <c r="I107" t="s">
        <v>23</v>
      </c>
    </row>
    <row r="108" spans="1:9" x14ac:dyDescent="0.3">
      <c r="A108">
        <v>106</v>
      </c>
      <c r="B108" t="s">
        <v>41</v>
      </c>
      <c r="C108">
        <v>4</v>
      </c>
      <c r="D108" t="s">
        <v>51</v>
      </c>
      <c r="E108" s="3">
        <v>1046.0423000000001</v>
      </c>
      <c r="F108" s="3">
        <v>-511.20690000000002</v>
      </c>
      <c r="G108" s="3">
        <v>-1106.1065000000001</v>
      </c>
      <c r="H108">
        <v>5</v>
      </c>
      <c r="I108" t="s">
        <v>23</v>
      </c>
    </row>
    <row r="109" spans="1:9" x14ac:dyDescent="0.3">
      <c r="A109">
        <v>107</v>
      </c>
      <c r="B109" t="s">
        <v>41</v>
      </c>
      <c r="C109">
        <v>42</v>
      </c>
      <c r="D109" t="s">
        <v>52</v>
      </c>
      <c r="E109" s="3">
        <v>1083.2746</v>
      </c>
      <c r="F109" s="3">
        <v>-96.309700000000007</v>
      </c>
      <c r="G109" s="3">
        <v>-356.6019</v>
      </c>
      <c r="H109">
        <v>5</v>
      </c>
      <c r="I109" t="s">
        <v>23</v>
      </c>
    </row>
    <row r="110" spans="1:9" x14ac:dyDescent="0.3">
      <c r="A110">
        <v>108</v>
      </c>
      <c r="B110" t="s">
        <v>41</v>
      </c>
      <c r="C110">
        <v>506</v>
      </c>
      <c r="D110" t="s">
        <v>53</v>
      </c>
      <c r="E110" s="3">
        <v>1148.5925999999999</v>
      </c>
      <c r="F110" s="3">
        <v>-22.802199999999999</v>
      </c>
      <c r="G110" s="3">
        <v>-460.52109999999999</v>
      </c>
      <c r="H110">
        <v>5</v>
      </c>
      <c r="I110" t="s">
        <v>23</v>
      </c>
    </row>
    <row r="111" spans="1:9" x14ac:dyDescent="0.3">
      <c r="A111">
        <v>109</v>
      </c>
      <c r="B111" t="s">
        <v>41</v>
      </c>
      <c r="C111">
        <v>507</v>
      </c>
      <c r="D111" t="s">
        <v>54</v>
      </c>
      <c r="E111" s="3">
        <v>676.8424</v>
      </c>
      <c r="F111" s="3">
        <v>-26.1083</v>
      </c>
      <c r="G111" s="3">
        <v>-1093.9142999999999</v>
      </c>
      <c r="H111">
        <v>5</v>
      </c>
      <c r="I111" t="s">
        <v>23</v>
      </c>
    </row>
    <row r="112" spans="1:9" x14ac:dyDescent="0.3">
      <c r="A112">
        <v>110</v>
      </c>
      <c r="B112" t="s">
        <v>41</v>
      </c>
      <c r="C112">
        <v>509</v>
      </c>
      <c r="D112" t="s">
        <v>55</v>
      </c>
      <c r="E112" s="3">
        <v>487.87270000000001</v>
      </c>
      <c r="F112" s="3">
        <v>-402.04880000000003</v>
      </c>
      <c r="G112" s="3">
        <v>438.76740000000001</v>
      </c>
      <c r="H112">
        <v>5</v>
      </c>
      <c r="I112" t="s">
        <v>23</v>
      </c>
    </row>
    <row r="113" spans="1:10" x14ac:dyDescent="0.3">
      <c r="A113">
        <v>111</v>
      </c>
      <c r="B113" t="s">
        <v>41</v>
      </c>
      <c r="C113">
        <v>57</v>
      </c>
      <c r="D113" t="s">
        <v>56</v>
      </c>
      <c r="E113" s="3">
        <v>381.63</v>
      </c>
      <c r="F113" s="3">
        <v>-99.013499999999993</v>
      </c>
      <c r="G113" s="3">
        <v>-132.49549999999999</v>
      </c>
      <c r="H113">
        <v>5</v>
      </c>
      <c r="I113" t="s">
        <v>23</v>
      </c>
    </row>
    <row r="114" spans="1:10" x14ac:dyDescent="0.3">
      <c r="A114">
        <v>112</v>
      </c>
      <c r="B114" t="s">
        <v>41</v>
      </c>
      <c r="C114">
        <v>87</v>
      </c>
      <c r="D114" t="s">
        <v>57</v>
      </c>
      <c r="E114" s="3">
        <v>1198.8471999999999</v>
      </c>
      <c r="F114" s="3">
        <v>-629.93629999999996</v>
      </c>
      <c r="G114" s="3">
        <v>-976.36180000000002</v>
      </c>
      <c r="H114">
        <v>5</v>
      </c>
      <c r="I114" t="s">
        <v>23</v>
      </c>
    </row>
    <row r="115" spans="1:10" x14ac:dyDescent="0.3">
      <c r="A115">
        <v>113</v>
      </c>
      <c r="B115" t="s">
        <v>41</v>
      </c>
      <c r="C115">
        <v>92</v>
      </c>
      <c r="D115" t="s">
        <v>58</v>
      </c>
      <c r="E115" s="3">
        <v>532.80229999999995</v>
      </c>
      <c r="F115" s="3">
        <v>-93.417699999999996</v>
      </c>
      <c r="G115" s="3">
        <v>-862.55020000000002</v>
      </c>
      <c r="H115">
        <v>5</v>
      </c>
      <c r="I115" t="s">
        <v>23</v>
      </c>
    </row>
    <row r="116" spans="1:10" x14ac:dyDescent="0.3">
      <c r="A116">
        <v>114</v>
      </c>
      <c r="B116" t="s">
        <v>41</v>
      </c>
      <c r="C116">
        <v>96</v>
      </c>
      <c r="D116" t="s">
        <v>59</v>
      </c>
      <c r="E116" s="3">
        <v>424.50970000000001</v>
      </c>
      <c r="F116" s="3">
        <v>2.7751999999999999</v>
      </c>
      <c r="G116" s="3">
        <v>303.8399</v>
      </c>
      <c r="H116">
        <v>5</v>
      </c>
      <c r="I116" t="s">
        <v>23</v>
      </c>
    </row>
    <row r="117" spans="1:10" x14ac:dyDescent="0.3">
      <c r="A117">
        <v>115</v>
      </c>
      <c r="B117" t="s">
        <v>60</v>
      </c>
      <c r="C117">
        <v>1002</v>
      </c>
      <c r="D117" t="s">
        <v>42</v>
      </c>
      <c r="E117" s="3">
        <v>575.60109999999997</v>
      </c>
      <c r="F117" s="3">
        <v>-52.7121</v>
      </c>
      <c r="G117" s="3">
        <v>347.5188</v>
      </c>
      <c r="H117">
        <v>6</v>
      </c>
      <c r="I117" t="s">
        <v>17</v>
      </c>
    </row>
    <row r="118" spans="1:10" x14ac:dyDescent="0.3">
      <c r="A118">
        <v>116</v>
      </c>
      <c r="B118" t="s">
        <v>60</v>
      </c>
      <c r="C118">
        <v>1009</v>
      </c>
      <c r="D118" t="s">
        <v>43</v>
      </c>
      <c r="E118" s="3">
        <v>1296.8766000000001</v>
      </c>
      <c r="F118" s="3">
        <v>-46.634399999999999</v>
      </c>
      <c r="G118" s="3">
        <v>-489.04059999999998</v>
      </c>
      <c r="H118">
        <v>6</v>
      </c>
      <c r="I118" t="s">
        <v>17</v>
      </c>
    </row>
    <row r="119" spans="1:10" x14ac:dyDescent="0.3">
      <c r="A119">
        <v>117</v>
      </c>
      <c r="B119" t="s">
        <v>60</v>
      </c>
      <c r="C119">
        <v>1016</v>
      </c>
      <c r="D119" t="s">
        <v>44</v>
      </c>
      <c r="E119" s="3">
        <v>604.92859999999996</v>
      </c>
      <c r="F119" s="3">
        <v>-45.104599999999998</v>
      </c>
      <c r="G119" s="3">
        <v>-1114.8501000000001</v>
      </c>
      <c r="H119">
        <v>6</v>
      </c>
      <c r="I119" t="s">
        <v>17</v>
      </c>
    </row>
    <row r="120" spans="1:10" x14ac:dyDescent="0.3">
      <c r="A120">
        <v>118</v>
      </c>
      <c r="B120" t="s">
        <v>60</v>
      </c>
      <c r="C120">
        <v>1001</v>
      </c>
      <c r="D120" t="s">
        <v>45</v>
      </c>
      <c r="E120" s="3">
        <v>-115.5333</v>
      </c>
      <c r="F120" s="3">
        <v>-51.0623</v>
      </c>
      <c r="G120" s="3">
        <v>-283.10570000000001</v>
      </c>
      <c r="H120">
        <v>6</v>
      </c>
      <c r="I120" t="s">
        <v>17</v>
      </c>
    </row>
    <row r="121" spans="1:10" x14ac:dyDescent="0.3">
      <c r="A121">
        <v>119</v>
      </c>
      <c r="B121" t="s">
        <v>60</v>
      </c>
      <c r="C121">
        <v>50501</v>
      </c>
      <c r="D121" t="s">
        <v>67</v>
      </c>
      <c r="E121" s="3">
        <v>1.1344841373142141E-3</v>
      </c>
      <c r="F121" s="3">
        <v>0.34321729425890207</v>
      </c>
      <c r="G121" s="3">
        <v>-0.19043465326134901</v>
      </c>
      <c r="H121">
        <v>6</v>
      </c>
      <c r="I121" t="s">
        <v>11</v>
      </c>
      <c r="J121" t="s">
        <v>68</v>
      </c>
    </row>
    <row r="122" spans="1:10" x14ac:dyDescent="0.3">
      <c r="A122">
        <v>120</v>
      </c>
      <c r="B122" t="s">
        <v>60</v>
      </c>
      <c r="C122">
        <v>50502</v>
      </c>
      <c r="D122" t="s">
        <v>69</v>
      </c>
      <c r="E122" s="3">
        <v>172.18330931246251</v>
      </c>
      <c r="F122" s="3">
        <v>0.56481665218254451</v>
      </c>
      <c r="G122" s="3">
        <v>-175.42113647555229</v>
      </c>
      <c r="H122">
        <v>6</v>
      </c>
      <c r="I122" t="s">
        <v>11</v>
      </c>
      <c r="J122" t="s">
        <v>68</v>
      </c>
    </row>
    <row r="123" spans="1:10" x14ac:dyDescent="0.3">
      <c r="A123">
        <v>121</v>
      </c>
      <c r="B123" t="s">
        <v>60</v>
      </c>
      <c r="C123">
        <v>50503</v>
      </c>
      <c r="D123" t="s">
        <v>70</v>
      </c>
      <c r="E123" s="3">
        <v>170.70955632220381</v>
      </c>
      <c r="F123" s="3">
        <v>-0.15726459672428481</v>
      </c>
      <c r="G123" s="3">
        <v>-1.11937820027355</v>
      </c>
      <c r="H123">
        <v>6</v>
      </c>
      <c r="I123" t="s">
        <v>11</v>
      </c>
      <c r="J123" t="s">
        <v>68</v>
      </c>
    </row>
    <row r="124" spans="1:10" x14ac:dyDescent="0.3">
      <c r="A124">
        <v>122</v>
      </c>
      <c r="B124" t="s">
        <v>60</v>
      </c>
      <c r="C124">
        <v>50504</v>
      </c>
      <c r="D124" t="s">
        <v>71</v>
      </c>
      <c r="E124" s="3">
        <v>346.46366268926062</v>
      </c>
      <c r="F124" s="3">
        <v>0.42439384293642068</v>
      </c>
      <c r="G124" s="3">
        <v>-7.8227112832207069E-2</v>
      </c>
      <c r="H124">
        <v>6</v>
      </c>
      <c r="I124" t="s">
        <v>11</v>
      </c>
      <c r="J124" t="s">
        <v>68</v>
      </c>
    </row>
    <row r="125" spans="1:10" x14ac:dyDescent="0.3">
      <c r="A125">
        <v>123</v>
      </c>
      <c r="B125" t="s">
        <v>60</v>
      </c>
      <c r="C125">
        <v>50505</v>
      </c>
      <c r="D125" t="s">
        <v>72</v>
      </c>
      <c r="E125" s="3">
        <v>169.83546811206219</v>
      </c>
      <c r="F125" s="3">
        <v>0.30706996658888219</v>
      </c>
      <c r="G125" s="3">
        <v>174.99882853615171</v>
      </c>
      <c r="H125">
        <v>6</v>
      </c>
      <c r="I125" t="s">
        <v>11</v>
      </c>
      <c r="J125" t="s">
        <v>68</v>
      </c>
    </row>
    <row r="126" spans="1:10" x14ac:dyDescent="0.3">
      <c r="A126">
        <v>124</v>
      </c>
      <c r="B126" t="s">
        <v>60</v>
      </c>
      <c r="C126">
        <v>50116</v>
      </c>
      <c r="D126" t="s">
        <v>22</v>
      </c>
      <c r="E126" s="3">
        <v>1012.142230278632</v>
      </c>
      <c r="F126" s="3">
        <v>-625.13523852972583</v>
      </c>
      <c r="G126" s="3">
        <v>-1135.307307472819</v>
      </c>
      <c r="H126">
        <v>6</v>
      </c>
      <c r="I126" t="s">
        <v>23</v>
      </c>
      <c r="J126" t="s">
        <v>68</v>
      </c>
    </row>
    <row r="127" spans="1:10" x14ac:dyDescent="0.3">
      <c r="A127">
        <v>125</v>
      </c>
      <c r="B127" t="s">
        <v>60</v>
      </c>
      <c r="C127">
        <v>50121</v>
      </c>
      <c r="D127" t="s">
        <v>24</v>
      </c>
      <c r="E127" s="3">
        <v>635.32811849403413</v>
      </c>
      <c r="F127" s="3">
        <v>-99.396553141237803</v>
      </c>
      <c r="G127" s="3">
        <v>96.20660171110427</v>
      </c>
      <c r="H127">
        <v>6</v>
      </c>
      <c r="I127" t="s">
        <v>23</v>
      </c>
      <c r="J127" t="s">
        <v>68</v>
      </c>
    </row>
    <row r="128" spans="1:10" x14ac:dyDescent="0.3">
      <c r="A128">
        <v>126</v>
      </c>
      <c r="B128" t="s">
        <v>60</v>
      </c>
      <c r="C128">
        <v>50013</v>
      </c>
      <c r="D128" t="s">
        <v>25</v>
      </c>
      <c r="E128" s="3">
        <v>279.77659869494789</v>
      </c>
      <c r="F128" s="3">
        <v>3.553898697577313</v>
      </c>
      <c r="G128" s="3">
        <v>200.74247564060221</v>
      </c>
      <c r="H128">
        <v>6</v>
      </c>
      <c r="I128" t="s">
        <v>23</v>
      </c>
      <c r="J128" t="s">
        <v>68</v>
      </c>
    </row>
    <row r="129" spans="1:10" x14ac:dyDescent="0.3">
      <c r="A129">
        <v>127</v>
      </c>
      <c r="B129" t="s">
        <v>60</v>
      </c>
      <c r="C129">
        <v>50034</v>
      </c>
      <c r="D129" t="s">
        <v>26</v>
      </c>
      <c r="E129" s="3">
        <v>757.86755141329888</v>
      </c>
      <c r="F129" s="3">
        <v>-94.770237950804528</v>
      </c>
      <c r="G129" s="3">
        <v>-665.64171511258201</v>
      </c>
      <c r="H129">
        <v>6</v>
      </c>
      <c r="I129" t="s">
        <v>23</v>
      </c>
      <c r="J129" t="s">
        <v>68</v>
      </c>
    </row>
    <row r="130" spans="1:10" x14ac:dyDescent="0.3">
      <c r="A130">
        <v>128</v>
      </c>
      <c r="B130" t="s">
        <v>60</v>
      </c>
      <c r="C130">
        <v>50037</v>
      </c>
      <c r="D130" t="s">
        <v>27</v>
      </c>
      <c r="E130" s="3">
        <v>33.384311914381463</v>
      </c>
      <c r="F130" s="3">
        <v>-98.640475990168113</v>
      </c>
      <c r="G130" s="3">
        <v>-390.84937583282192</v>
      </c>
      <c r="H130">
        <v>6</v>
      </c>
      <c r="I130" t="s">
        <v>23</v>
      </c>
      <c r="J130" t="s">
        <v>68</v>
      </c>
    </row>
    <row r="131" spans="1:10" x14ac:dyDescent="0.3">
      <c r="A131">
        <v>130</v>
      </c>
      <c r="B131" t="s">
        <v>60</v>
      </c>
      <c r="C131">
        <v>50004</v>
      </c>
      <c r="D131" t="s">
        <v>29</v>
      </c>
      <c r="E131" s="3">
        <v>1045.875943573564</v>
      </c>
      <c r="F131" s="3">
        <v>-512.88772532544897</v>
      </c>
      <c r="G131" s="3">
        <v>-1105.129279519339</v>
      </c>
      <c r="H131">
        <v>6</v>
      </c>
      <c r="I131" t="s">
        <v>23</v>
      </c>
      <c r="J131" t="s">
        <v>68</v>
      </c>
    </row>
    <row r="132" spans="1:10" x14ac:dyDescent="0.3">
      <c r="A132">
        <v>129</v>
      </c>
      <c r="B132" t="s">
        <v>60</v>
      </c>
      <c r="C132">
        <v>50042</v>
      </c>
      <c r="D132" t="s">
        <v>28</v>
      </c>
      <c r="E132" s="3">
        <v>1083.2546315933021</v>
      </c>
      <c r="F132" s="3">
        <v>-96.694834813743995</v>
      </c>
      <c r="G132" s="3">
        <v>-356.3506822546164</v>
      </c>
      <c r="H132">
        <v>6</v>
      </c>
      <c r="I132" t="s">
        <v>23</v>
      </c>
      <c r="J132" t="s">
        <v>68</v>
      </c>
    </row>
    <row r="133" spans="1:10" x14ac:dyDescent="0.3">
      <c r="A133">
        <v>131</v>
      </c>
      <c r="B133" t="s">
        <v>60</v>
      </c>
      <c r="C133">
        <v>50506</v>
      </c>
      <c r="D133" t="s">
        <v>30</v>
      </c>
      <c r="E133" s="3">
        <v>1148.5594507593671</v>
      </c>
      <c r="F133" s="3">
        <v>-23.371028040753519</v>
      </c>
      <c r="G133" s="3">
        <v>-460.4078480957765</v>
      </c>
      <c r="H133">
        <v>6</v>
      </c>
      <c r="I133" t="s">
        <v>23</v>
      </c>
      <c r="J133" t="s">
        <v>68</v>
      </c>
    </row>
    <row r="134" spans="1:10" x14ac:dyDescent="0.3">
      <c r="A134">
        <v>132</v>
      </c>
      <c r="B134" t="s">
        <v>60</v>
      </c>
      <c r="C134">
        <v>50507</v>
      </c>
      <c r="D134" t="s">
        <v>31</v>
      </c>
      <c r="E134" s="3">
        <v>676.70441178851684</v>
      </c>
      <c r="F134" s="3">
        <v>-27.7485750924949</v>
      </c>
      <c r="G134" s="3">
        <v>-1093.716451055752</v>
      </c>
      <c r="H134">
        <v>6</v>
      </c>
      <c r="I134" t="s">
        <v>23</v>
      </c>
      <c r="J134" t="s">
        <v>68</v>
      </c>
    </row>
    <row r="135" spans="1:10" x14ac:dyDescent="0.3">
      <c r="A135">
        <v>133</v>
      </c>
      <c r="B135" t="s">
        <v>60</v>
      </c>
      <c r="C135">
        <v>50509</v>
      </c>
      <c r="D135" t="s">
        <v>32</v>
      </c>
      <c r="E135" s="3">
        <v>487.96756718346052</v>
      </c>
      <c r="F135" s="3">
        <v>-401.02316954605612</v>
      </c>
      <c r="G135" s="3">
        <v>439.64537225839513</v>
      </c>
      <c r="H135">
        <v>6</v>
      </c>
      <c r="I135" t="s">
        <v>23</v>
      </c>
      <c r="J135" t="s">
        <v>68</v>
      </c>
    </row>
    <row r="136" spans="1:10" x14ac:dyDescent="0.3">
      <c r="A136">
        <v>134</v>
      </c>
      <c r="B136" t="s">
        <v>60</v>
      </c>
      <c r="C136">
        <v>50057</v>
      </c>
      <c r="D136" t="s">
        <v>33</v>
      </c>
      <c r="E136" s="3">
        <v>381.64692833781868</v>
      </c>
      <c r="F136" s="3">
        <v>-98.972107011844884</v>
      </c>
      <c r="G136" s="3">
        <v>-132.12405910638071</v>
      </c>
      <c r="H136">
        <v>6</v>
      </c>
      <c r="I136" t="s">
        <v>23</v>
      </c>
      <c r="J136" t="s">
        <v>68</v>
      </c>
    </row>
    <row r="137" spans="1:10" x14ac:dyDescent="0.3">
      <c r="A137">
        <v>135</v>
      </c>
      <c r="B137" t="s">
        <v>60</v>
      </c>
      <c r="C137">
        <v>50087</v>
      </c>
      <c r="D137" t="s">
        <v>34</v>
      </c>
      <c r="E137" s="3">
        <v>1198.6958324965999</v>
      </c>
      <c r="F137" s="3">
        <v>-631.40053702858199</v>
      </c>
      <c r="G137" s="3">
        <v>-975.20433934914399</v>
      </c>
      <c r="H137">
        <v>6</v>
      </c>
      <c r="I137" t="s">
        <v>23</v>
      </c>
      <c r="J137" t="s">
        <v>68</v>
      </c>
    </row>
    <row r="138" spans="1:10" x14ac:dyDescent="0.3">
      <c r="A138">
        <v>136</v>
      </c>
      <c r="B138" t="s">
        <v>60</v>
      </c>
      <c r="C138">
        <v>50092</v>
      </c>
      <c r="D138" t="s">
        <v>35</v>
      </c>
      <c r="E138" s="3">
        <v>532.69889039036309</v>
      </c>
      <c r="F138" s="3">
        <v>-94.64922353942876</v>
      </c>
      <c r="G138" s="3">
        <v>-862.21231383698569</v>
      </c>
      <c r="H138">
        <v>6</v>
      </c>
      <c r="I138" t="s">
        <v>23</v>
      </c>
      <c r="J138" t="s">
        <v>68</v>
      </c>
    </row>
    <row r="139" spans="1:10" x14ac:dyDescent="0.3">
      <c r="A139">
        <v>137</v>
      </c>
      <c r="B139" t="s">
        <v>60</v>
      </c>
      <c r="C139">
        <v>50096</v>
      </c>
      <c r="D139" t="s">
        <v>36</v>
      </c>
      <c r="E139" s="3">
        <v>424.60425955629609</v>
      </c>
      <c r="F139" s="3">
        <v>3.5699508637321959</v>
      </c>
      <c r="G139" s="3">
        <v>304.02727182609249</v>
      </c>
      <c r="H139">
        <v>6</v>
      </c>
      <c r="I139" t="s">
        <v>23</v>
      </c>
      <c r="J139" t="s">
        <v>68</v>
      </c>
    </row>
    <row r="140" spans="1:10" x14ac:dyDescent="0.3">
      <c r="A140">
        <v>138</v>
      </c>
      <c r="B140" t="s">
        <v>61</v>
      </c>
      <c r="C140">
        <v>1011</v>
      </c>
      <c r="D140" t="s">
        <v>42</v>
      </c>
      <c r="E140" s="3">
        <v>575.49699999999996</v>
      </c>
      <c r="F140" s="3">
        <v>-52.610999999999997</v>
      </c>
      <c r="G140" s="3">
        <v>347.42399999999998</v>
      </c>
      <c r="H140">
        <v>7</v>
      </c>
      <c r="I140" t="s">
        <v>17</v>
      </c>
    </row>
    <row r="141" spans="1:10" x14ac:dyDescent="0.3">
      <c r="A141">
        <v>139</v>
      </c>
      <c r="B141" t="s">
        <v>61</v>
      </c>
      <c r="C141">
        <v>1021</v>
      </c>
      <c r="D141" t="s">
        <v>43</v>
      </c>
      <c r="E141" s="3">
        <v>1297.0840000000001</v>
      </c>
      <c r="F141" s="3">
        <v>-47.313000000000002</v>
      </c>
      <c r="G141" s="3">
        <v>-488.86800000000011</v>
      </c>
      <c r="H141">
        <v>7</v>
      </c>
      <c r="I141" t="s">
        <v>17</v>
      </c>
    </row>
    <row r="142" spans="1:10" x14ac:dyDescent="0.3">
      <c r="A142">
        <v>140</v>
      </c>
      <c r="B142" t="s">
        <v>61</v>
      </c>
      <c r="C142">
        <v>1032</v>
      </c>
      <c r="D142" t="s">
        <v>44</v>
      </c>
      <c r="E142" s="3">
        <v>605.36800000000005</v>
      </c>
      <c r="F142" s="3">
        <v>-46.253</v>
      </c>
      <c r="G142" s="3">
        <v>-1114.9079999999999</v>
      </c>
      <c r="H142">
        <v>7</v>
      </c>
      <c r="I142" t="s">
        <v>17</v>
      </c>
    </row>
    <row r="143" spans="1:10" x14ac:dyDescent="0.3">
      <c r="A143">
        <v>141</v>
      </c>
      <c r="B143" t="s">
        <v>61</v>
      </c>
      <c r="C143">
        <v>1002</v>
      </c>
      <c r="D143" t="s">
        <v>45</v>
      </c>
      <c r="E143" s="3">
        <v>-115.43</v>
      </c>
      <c r="F143" s="3">
        <v>-51.466999999999999</v>
      </c>
      <c r="G143" s="3">
        <v>-283.476</v>
      </c>
      <c r="H143">
        <v>7</v>
      </c>
      <c r="I143" t="s">
        <v>17</v>
      </c>
    </row>
    <row r="144" spans="1:10" x14ac:dyDescent="0.3">
      <c r="A144">
        <v>142</v>
      </c>
      <c r="B144" t="s">
        <v>61</v>
      </c>
      <c r="C144">
        <v>50501</v>
      </c>
      <c r="D144" t="s">
        <v>67</v>
      </c>
      <c r="E144" s="3">
        <v>1.981797718265171E-2</v>
      </c>
      <c r="F144" s="3">
        <v>0.17974776474276419</v>
      </c>
      <c r="G144" s="3">
        <v>-0.5447869982528919</v>
      </c>
      <c r="H144">
        <v>7</v>
      </c>
      <c r="I144" t="s">
        <v>11</v>
      </c>
      <c r="J144" t="s">
        <v>68</v>
      </c>
    </row>
    <row r="145" spans="1:10" x14ac:dyDescent="0.3">
      <c r="A145">
        <v>143</v>
      </c>
      <c r="B145" t="s">
        <v>61</v>
      </c>
      <c r="C145">
        <v>50502</v>
      </c>
      <c r="D145" t="s">
        <v>69</v>
      </c>
      <c r="E145" s="3">
        <v>172.26863920289509</v>
      </c>
      <c r="F145" s="3">
        <v>0.23990220535920331</v>
      </c>
      <c r="G145" s="3">
        <v>-175.7101068073288</v>
      </c>
      <c r="H145">
        <v>7</v>
      </c>
      <c r="I145" t="s">
        <v>11</v>
      </c>
      <c r="J145" t="s">
        <v>68</v>
      </c>
    </row>
    <row r="146" spans="1:10" x14ac:dyDescent="0.3">
      <c r="A146">
        <v>144</v>
      </c>
      <c r="B146" t="s">
        <v>61</v>
      </c>
      <c r="C146">
        <v>50503</v>
      </c>
      <c r="D146" t="s">
        <v>70</v>
      </c>
      <c r="E146" s="3">
        <v>170.72854536511409</v>
      </c>
      <c r="F146" s="3">
        <v>-0.33340326958190553</v>
      </c>
      <c r="G146" s="3">
        <v>-1.4083692403635579</v>
      </c>
      <c r="H146">
        <v>7</v>
      </c>
      <c r="I146" t="s">
        <v>11</v>
      </c>
      <c r="J146" t="s">
        <v>68</v>
      </c>
    </row>
    <row r="147" spans="1:10" x14ac:dyDescent="0.3">
      <c r="A147">
        <v>145</v>
      </c>
      <c r="B147" t="s">
        <v>61</v>
      </c>
      <c r="C147">
        <v>50504</v>
      </c>
      <c r="D147" t="s">
        <v>71</v>
      </c>
      <c r="E147" s="3">
        <v>346.48228327851058</v>
      </c>
      <c r="F147" s="3">
        <v>0.2369149970179911</v>
      </c>
      <c r="G147" s="3">
        <v>-0.30086142824016943</v>
      </c>
      <c r="H147">
        <v>7</v>
      </c>
      <c r="I147" t="s">
        <v>11</v>
      </c>
      <c r="J147" t="s">
        <v>68</v>
      </c>
    </row>
    <row r="148" spans="1:10" x14ac:dyDescent="0.3">
      <c r="A148">
        <v>146</v>
      </c>
      <c r="B148" t="s">
        <v>61</v>
      </c>
      <c r="C148">
        <v>50505</v>
      </c>
      <c r="D148" t="s">
        <v>72</v>
      </c>
      <c r="E148" s="3">
        <v>169.7875083598334</v>
      </c>
      <c r="F148" s="3">
        <v>0.28121427536518873</v>
      </c>
      <c r="G148" s="3">
        <v>174.7090321584424</v>
      </c>
      <c r="H148">
        <v>7</v>
      </c>
      <c r="I148" t="s">
        <v>11</v>
      </c>
      <c r="J148" t="s">
        <v>68</v>
      </c>
    </row>
    <row r="149" spans="1:10" x14ac:dyDescent="0.3">
      <c r="A149">
        <v>147</v>
      </c>
      <c r="B149" t="s">
        <v>61</v>
      </c>
      <c r="C149">
        <v>50116</v>
      </c>
      <c r="D149" t="s">
        <v>22</v>
      </c>
      <c r="E149" s="3">
        <v>1012.548825672695</v>
      </c>
      <c r="F149" s="3">
        <v>-626.33711117968596</v>
      </c>
      <c r="G149" s="3">
        <v>-1134.7426733872369</v>
      </c>
      <c r="H149">
        <v>7</v>
      </c>
      <c r="I149" t="s">
        <v>23</v>
      </c>
      <c r="J149" t="s">
        <v>68</v>
      </c>
    </row>
    <row r="150" spans="1:10" x14ac:dyDescent="0.3">
      <c r="A150">
        <v>148</v>
      </c>
      <c r="B150" t="s">
        <v>61</v>
      </c>
      <c r="C150">
        <v>50121</v>
      </c>
      <c r="D150" t="s">
        <v>24</v>
      </c>
      <c r="E150" s="3">
        <v>635.30312103070446</v>
      </c>
      <c r="F150" s="3">
        <v>-99.521965656265536</v>
      </c>
      <c r="G150" s="3">
        <v>96.178944525051477</v>
      </c>
      <c r="H150">
        <v>7</v>
      </c>
      <c r="I150" t="s">
        <v>23</v>
      </c>
      <c r="J150" t="s">
        <v>68</v>
      </c>
    </row>
    <row r="151" spans="1:10" x14ac:dyDescent="0.3">
      <c r="A151">
        <v>149</v>
      </c>
      <c r="B151" t="s">
        <v>61</v>
      </c>
      <c r="C151">
        <v>50013</v>
      </c>
      <c r="D151" t="s">
        <v>25</v>
      </c>
      <c r="E151" s="3">
        <v>279.71906684337881</v>
      </c>
      <c r="F151" s="3">
        <v>3.5423510878888118</v>
      </c>
      <c r="G151" s="3">
        <v>200.4917180728084</v>
      </c>
      <c r="H151">
        <v>7</v>
      </c>
      <c r="I151" t="s">
        <v>23</v>
      </c>
      <c r="J151" t="s">
        <v>68</v>
      </c>
    </row>
    <row r="152" spans="1:10" x14ac:dyDescent="0.3">
      <c r="A152">
        <v>150</v>
      </c>
      <c r="B152" t="s">
        <v>61</v>
      </c>
      <c r="C152">
        <v>50034</v>
      </c>
      <c r="D152" t="s">
        <v>26</v>
      </c>
      <c r="E152" s="3">
        <v>758.13261449094682</v>
      </c>
      <c r="F152" s="3">
        <v>-95.554006320189103</v>
      </c>
      <c r="G152" s="3">
        <v>-665.62637449976853</v>
      </c>
      <c r="H152">
        <v>7</v>
      </c>
      <c r="I152" t="s">
        <v>23</v>
      </c>
      <c r="J152" t="s">
        <v>68</v>
      </c>
    </row>
    <row r="153" spans="1:10" x14ac:dyDescent="0.3">
      <c r="A153">
        <v>151</v>
      </c>
      <c r="B153" t="s">
        <v>61</v>
      </c>
      <c r="C153">
        <v>50037</v>
      </c>
      <c r="D153" t="s">
        <v>27</v>
      </c>
      <c r="E153" s="3">
        <v>33.54464954601589</v>
      </c>
      <c r="F153" s="3">
        <v>-99.139449568324949</v>
      </c>
      <c r="G153" s="3">
        <v>-391.10643271438892</v>
      </c>
      <c r="H153">
        <v>7</v>
      </c>
      <c r="I153" t="s">
        <v>23</v>
      </c>
      <c r="J153" t="s">
        <v>68</v>
      </c>
    </row>
    <row r="154" spans="1:10" x14ac:dyDescent="0.3">
      <c r="A154">
        <v>153</v>
      </c>
      <c r="B154" t="s">
        <v>61</v>
      </c>
      <c r="C154">
        <v>50004</v>
      </c>
      <c r="D154" t="s">
        <v>29</v>
      </c>
      <c r="E154" s="3">
        <v>1046.278905123316</v>
      </c>
      <c r="F154" s="3">
        <v>-514.06624534442756</v>
      </c>
      <c r="G154" s="3">
        <v>-1104.6475669872559</v>
      </c>
      <c r="H154">
        <v>7</v>
      </c>
      <c r="I154" t="s">
        <v>23</v>
      </c>
      <c r="J154" t="s">
        <v>68</v>
      </c>
    </row>
    <row r="155" spans="1:10" x14ac:dyDescent="0.3">
      <c r="A155">
        <v>152</v>
      </c>
      <c r="B155" t="s">
        <v>61</v>
      </c>
      <c r="C155">
        <v>50042</v>
      </c>
      <c r="D155" t="s">
        <v>28</v>
      </c>
      <c r="E155" s="3">
        <v>1083.4019061790491</v>
      </c>
      <c r="F155" s="3">
        <v>-97.237427309563401</v>
      </c>
      <c r="G155" s="3">
        <v>-356.21006431882012</v>
      </c>
      <c r="H155">
        <v>7</v>
      </c>
      <c r="I155" t="s">
        <v>23</v>
      </c>
      <c r="J155" t="s">
        <v>68</v>
      </c>
    </row>
    <row r="156" spans="1:10" x14ac:dyDescent="0.3">
      <c r="A156">
        <v>154</v>
      </c>
      <c r="B156" t="s">
        <v>61</v>
      </c>
      <c r="C156">
        <v>50506</v>
      </c>
      <c r="D156" t="s">
        <v>30</v>
      </c>
      <c r="E156" s="3">
        <v>1148.751420770941</v>
      </c>
      <c r="F156" s="3">
        <v>-24.0069478707928</v>
      </c>
      <c r="G156" s="3">
        <v>-460.30488471187272</v>
      </c>
      <c r="H156">
        <v>7</v>
      </c>
      <c r="I156" t="s">
        <v>23</v>
      </c>
      <c r="J156" t="s">
        <v>68</v>
      </c>
    </row>
    <row r="157" spans="1:10" x14ac:dyDescent="0.3">
      <c r="A157">
        <v>155</v>
      </c>
      <c r="B157" t="s">
        <v>61</v>
      </c>
      <c r="C157">
        <v>50507</v>
      </c>
      <c r="D157" t="s">
        <v>31</v>
      </c>
      <c r="E157" s="3">
        <v>677.13697116590151</v>
      </c>
      <c r="F157" s="3">
        <v>-28.891853078668731</v>
      </c>
      <c r="G157" s="3">
        <v>-1093.7889618032671</v>
      </c>
      <c r="H157">
        <v>7</v>
      </c>
      <c r="I157" t="s">
        <v>23</v>
      </c>
      <c r="J157" t="s">
        <v>68</v>
      </c>
    </row>
    <row r="158" spans="1:10" x14ac:dyDescent="0.3">
      <c r="A158">
        <v>156</v>
      </c>
      <c r="B158" t="s">
        <v>61</v>
      </c>
      <c r="C158">
        <v>50509</v>
      </c>
      <c r="D158" t="s">
        <v>32</v>
      </c>
      <c r="E158" s="3">
        <v>487.79088061701037</v>
      </c>
      <c r="F158" s="3">
        <v>-400.84527844480959</v>
      </c>
      <c r="G158" s="3">
        <v>439.81878071940162</v>
      </c>
      <c r="H158">
        <v>7</v>
      </c>
      <c r="I158" t="s">
        <v>23</v>
      </c>
      <c r="J158" t="s">
        <v>68</v>
      </c>
    </row>
    <row r="159" spans="1:10" x14ac:dyDescent="0.3">
      <c r="A159">
        <v>157</v>
      </c>
      <c r="B159" t="s">
        <v>61</v>
      </c>
      <c r="C159">
        <v>50057</v>
      </c>
      <c r="D159" t="s">
        <v>33</v>
      </c>
      <c r="E159" s="3">
        <v>381.70881827886473</v>
      </c>
      <c r="F159" s="3">
        <v>-99.274627547935069</v>
      </c>
      <c r="G159" s="3">
        <v>-132.2484739224904</v>
      </c>
      <c r="H159">
        <v>7</v>
      </c>
      <c r="I159" t="s">
        <v>23</v>
      </c>
      <c r="J159" t="s">
        <v>68</v>
      </c>
    </row>
    <row r="160" spans="1:10" x14ac:dyDescent="0.3">
      <c r="A160">
        <v>158</v>
      </c>
      <c r="B160" t="s">
        <v>61</v>
      </c>
      <c r="C160">
        <v>50087</v>
      </c>
      <c r="D160" t="s">
        <v>34</v>
      </c>
      <c r="E160" s="3">
        <v>1199.0410856069709</v>
      </c>
      <c r="F160" s="3">
        <v>-632.47882484927959</v>
      </c>
      <c r="G160" s="3">
        <v>-974.56346997556784</v>
      </c>
      <c r="H160">
        <v>7</v>
      </c>
      <c r="I160" t="s">
        <v>23</v>
      </c>
      <c r="J160" t="s">
        <v>68</v>
      </c>
    </row>
    <row r="161" spans="1:10" x14ac:dyDescent="0.3">
      <c r="A161">
        <v>159</v>
      </c>
      <c r="B161" t="s">
        <v>61</v>
      </c>
      <c r="C161">
        <v>50092</v>
      </c>
      <c r="D161" t="s">
        <v>35</v>
      </c>
      <c r="E161" s="3">
        <v>533.0387385369296</v>
      </c>
      <c r="F161" s="3">
        <v>-95.58499340482561</v>
      </c>
      <c r="G161" s="3">
        <v>-862.28264030896707</v>
      </c>
      <c r="H161">
        <v>7</v>
      </c>
      <c r="I161" t="s">
        <v>23</v>
      </c>
      <c r="J161" t="s">
        <v>68</v>
      </c>
    </row>
    <row r="162" spans="1:10" x14ac:dyDescent="0.3">
      <c r="A162">
        <v>160</v>
      </c>
      <c r="B162" t="s">
        <v>61</v>
      </c>
      <c r="C162">
        <v>50096</v>
      </c>
      <c r="D162" t="s">
        <v>36</v>
      </c>
      <c r="E162" s="3">
        <v>424.50743670124581</v>
      </c>
      <c r="F162" s="3">
        <v>3.6364250433246998</v>
      </c>
      <c r="G162" s="3">
        <v>303.83154502888777</v>
      </c>
      <c r="H162">
        <v>7</v>
      </c>
      <c r="I162" t="s">
        <v>23</v>
      </c>
      <c r="J162" t="s">
        <v>68</v>
      </c>
    </row>
    <row r="163" spans="1:10" x14ac:dyDescent="0.3">
      <c r="A163">
        <v>161</v>
      </c>
      <c r="B163" t="s">
        <v>62</v>
      </c>
      <c r="C163">
        <v>1007</v>
      </c>
      <c r="D163" t="s">
        <v>42</v>
      </c>
      <c r="E163" s="3">
        <v>575.66780000000006</v>
      </c>
      <c r="F163" s="3">
        <v>-50.585099999999997</v>
      </c>
      <c r="G163" s="3">
        <v>349.7285</v>
      </c>
      <c r="H163">
        <v>8</v>
      </c>
      <c r="I163" t="s">
        <v>17</v>
      </c>
    </row>
    <row r="164" spans="1:10" x14ac:dyDescent="0.3">
      <c r="A164">
        <v>162</v>
      </c>
      <c r="B164" t="s">
        <v>62</v>
      </c>
      <c r="C164">
        <v>1013</v>
      </c>
      <c r="D164" t="s">
        <v>43</v>
      </c>
      <c r="E164" s="3">
        <v>1295.7804000000001</v>
      </c>
      <c r="F164" s="3">
        <v>-58.134099999999997</v>
      </c>
      <c r="G164" s="3">
        <v>-487.79430000000002</v>
      </c>
      <c r="H164">
        <v>8</v>
      </c>
      <c r="I164" t="s">
        <v>17</v>
      </c>
    </row>
    <row r="165" spans="1:10" x14ac:dyDescent="0.3">
      <c r="A165">
        <v>163</v>
      </c>
      <c r="B165" t="s">
        <v>62</v>
      </c>
      <c r="C165">
        <v>1019</v>
      </c>
      <c r="D165" t="s">
        <v>44</v>
      </c>
      <c r="E165" s="3">
        <v>602.94550000000004</v>
      </c>
      <c r="F165" s="3">
        <v>-59.117600000000003</v>
      </c>
      <c r="G165" s="3">
        <v>-1112.6487999999999</v>
      </c>
      <c r="H165">
        <v>8</v>
      </c>
      <c r="I165" t="s">
        <v>17</v>
      </c>
    </row>
    <row r="166" spans="1:10" x14ac:dyDescent="0.3">
      <c r="A166">
        <v>164</v>
      </c>
      <c r="B166" t="s">
        <v>62</v>
      </c>
      <c r="C166">
        <v>1003</v>
      </c>
      <c r="D166" t="s">
        <v>45</v>
      </c>
      <c r="E166" s="3">
        <v>-116.29519999999999</v>
      </c>
      <c r="F166" s="3">
        <v>-51.572299999999998</v>
      </c>
      <c r="G166" s="3">
        <v>-279.93279999999999</v>
      </c>
      <c r="H166">
        <v>8</v>
      </c>
      <c r="I166" t="s">
        <v>17</v>
      </c>
    </row>
    <row r="167" spans="1:10" x14ac:dyDescent="0.3">
      <c r="A167">
        <v>165</v>
      </c>
      <c r="B167" t="s">
        <v>62</v>
      </c>
      <c r="C167">
        <v>50501</v>
      </c>
      <c r="D167" t="s">
        <v>67</v>
      </c>
      <c r="E167" s="3">
        <v>-7.9674884402615637E-2</v>
      </c>
      <c r="F167" s="3">
        <v>2.2180601589804492</v>
      </c>
      <c r="G167" s="3">
        <v>2.2561022644124069</v>
      </c>
      <c r="H167">
        <v>8</v>
      </c>
      <c r="I167" t="s">
        <v>11</v>
      </c>
      <c r="J167" t="s">
        <v>68</v>
      </c>
    </row>
    <row r="168" spans="1:10" x14ac:dyDescent="0.3">
      <c r="A168">
        <v>166</v>
      </c>
      <c r="B168" t="s">
        <v>62</v>
      </c>
      <c r="C168">
        <v>50502</v>
      </c>
      <c r="D168" t="s">
        <v>69</v>
      </c>
      <c r="E168" s="3">
        <v>171.8512206091788</v>
      </c>
      <c r="F168" s="3">
        <v>-0.53832810212625226</v>
      </c>
      <c r="G168" s="3">
        <v>-173.19964370746851</v>
      </c>
      <c r="H168">
        <v>8</v>
      </c>
      <c r="I168" t="s">
        <v>11</v>
      </c>
      <c r="J168" t="s">
        <v>68</v>
      </c>
    </row>
    <row r="169" spans="1:10" x14ac:dyDescent="0.3">
      <c r="A169">
        <v>167</v>
      </c>
      <c r="B169" t="s">
        <v>62</v>
      </c>
      <c r="C169">
        <v>50503</v>
      </c>
      <c r="D169" t="s">
        <v>70</v>
      </c>
      <c r="E169" s="3">
        <v>170.62090891890179</v>
      </c>
      <c r="F169" s="3">
        <v>0.65084812050367358</v>
      </c>
      <c r="G169" s="3">
        <v>1.10144200376935</v>
      </c>
      <c r="H169">
        <v>8</v>
      </c>
      <c r="I169" t="s">
        <v>11</v>
      </c>
      <c r="J169" t="s">
        <v>68</v>
      </c>
    </row>
    <row r="170" spans="1:10" x14ac:dyDescent="0.3">
      <c r="A170">
        <v>168</v>
      </c>
      <c r="B170" t="s">
        <v>62</v>
      </c>
      <c r="C170">
        <v>50504</v>
      </c>
      <c r="D170" t="s">
        <v>71</v>
      </c>
      <c r="E170" s="3">
        <v>346.3765593006849</v>
      </c>
      <c r="F170" s="3">
        <v>0.1559587966084961</v>
      </c>
      <c r="G170" s="3">
        <v>1.898104067331045</v>
      </c>
      <c r="H170">
        <v>8</v>
      </c>
      <c r="I170" t="s">
        <v>11</v>
      </c>
      <c r="J170" t="s">
        <v>68</v>
      </c>
    </row>
    <row r="171" spans="1:10" x14ac:dyDescent="0.3">
      <c r="A171">
        <v>169</v>
      </c>
      <c r="B171" t="s">
        <v>62</v>
      </c>
      <c r="C171">
        <v>50505</v>
      </c>
      <c r="D171" t="s">
        <v>72</v>
      </c>
      <c r="E171" s="3">
        <v>170.0001586627786</v>
      </c>
      <c r="F171" s="3">
        <v>3.0424571478886011</v>
      </c>
      <c r="G171" s="3">
        <v>177.2050968670903</v>
      </c>
      <c r="H171">
        <v>8</v>
      </c>
      <c r="I171" t="s">
        <v>11</v>
      </c>
      <c r="J171" t="s">
        <v>68</v>
      </c>
    </row>
    <row r="172" spans="1:10" x14ac:dyDescent="0.3">
      <c r="A172">
        <v>170</v>
      </c>
      <c r="B172" t="s">
        <v>62</v>
      </c>
      <c r="C172">
        <v>50116</v>
      </c>
      <c r="D172" t="s">
        <v>22</v>
      </c>
      <c r="E172" s="3">
        <v>1006.5648435715621</v>
      </c>
      <c r="F172" s="3">
        <v>-641.86304247911778</v>
      </c>
      <c r="G172" s="3">
        <v>-1127.332122772809</v>
      </c>
      <c r="H172">
        <v>8</v>
      </c>
      <c r="I172" t="s">
        <v>23</v>
      </c>
      <c r="J172" t="s">
        <v>68</v>
      </c>
    </row>
    <row r="173" spans="1:10" x14ac:dyDescent="0.3">
      <c r="A173">
        <v>171</v>
      </c>
      <c r="B173" t="s">
        <v>62</v>
      </c>
      <c r="C173">
        <v>50121</v>
      </c>
      <c r="D173" t="s">
        <v>24</v>
      </c>
      <c r="E173" s="3">
        <v>634.75579292994416</v>
      </c>
      <c r="F173" s="3">
        <v>-100.39439981326019</v>
      </c>
      <c r="G173" s="3">
        <v>98.875970308488732</v>
      </c>
      <c r="H173">
        <v>8</v>
      </c>
      <c r="I173" t="s">
        <v>23</v>
      </c>
      <c r="J173" t="s">
        <v>68</v>
      </c>
    </row>
    <row r="174" spans="1:10" x14ac:dyDescent="0.3">
      <c r="A174">
        <v>172</v>
      </c>
      <c r="B174" t="s">
        <v>62</v>
      </c>
      <c r="C174">
        <v>50013</v>
      </c>
      <c r="D174" t="s">
        <v>25</v>
      </c>
      <c r="E174" s="3">
        <v>279.99573937153019</v>
      </c>
      <c r="F174" s="3">
        <v>5.8894578415947922</v>
      </c>
      <c r="G174" s="3">
        <v>202.7628015465902</v>
      </c>
      <c r="H174">
        <v>8</v>
      </c>
      <c r="I174" t="s">
        <v>23</v>
      </c>
      <c r="J174" t="s">
        <v>68</v>
      </c>
    </row>
    <row r="175" spans="1:10" x14ac:dyDescent="0.3">
      <c r="A175">
        <v>173</v>
      </c>
      <c r="B175" t="s">
        <v>62</v>
      </c>
      <c r="C175">
        <v>50034</v>
      </c>
      <c r="D175" t="s">
        <v>26</v>
      </c>
      <c r="E175" s="3">
        <v>756.23792565864028</v>
      </c>
      <c r="F175" s="3">
        <v>-104.84064616485171</v>
      </c>
      <c r="G175" s="3">
        <v>-663.14272734962537</v>
      </c>
      <c r="H175">
        <v>8</v>
      </c>
      <c r="I175" t="s">
        <v>23</v>
      </c>
      <c r="J175" t="s">
        <v>68</v>
      </c>
    </row>
    <row r="176" spans="1:10" x14ac:dyDescent="0.3">
      <c r="A176">
        <v>174</v>
      </c>
      <c r="B176" t="s">
        <v>62</v>
      </c>
      <c r="C176">
        <v>50037</v>
      </c>
      <c r="D176" t="s">
        <v>27</v>
      </c>
      <c r="E176" s="3">
        <v>32.136107773111299</v>
      </c>
      <c r="F176" s="3">
        <v>-101.2275640607934</v>
      </c>
      <c r="G176" s="3">
        <v>-387.34338768988039</v>
      </c>
      <c r="H176">
        <v>8</v>
      </c>
      <c r="I176" t="s">
        <v>23</v>
      </c>
      <c r="J176" t="s">
        <v>68</v>
      </c>
    </row>
    <row r="177" spans="1:10" x14ac:dyDescent="0.3">
      <c r="A177">
        <v>176</v>
      </c>
      <c r="B177" t="s">
        <v>62</v>
      </c>
      <c r="C177">
        <v>50004</v>
      </c>
      <c r="D177" t="s">
        <v>29</v>
      </c>
      <c r="E177" s="3">
        <v>1041.0338712429621</v>
      </c>
      <c r="F177" s="3">
        <v>-529.5038449831759</v>
      </c>
      <c r="G177" s="3">
        <v>-1098.427488649088</v>
      </c>
      <c r="H177">
        <v>8</v>
      </c>
      <c r="I177" t="s">
        <v>23</v>
      </c>
      <c r="J177" t="s">
        <v>68</v>
      </c>
    </row>
    <row r="178" spans="1:10" x14ac:dyDescent="0.3">
      <c r="A178">
        <v>175</v>
      </c>
      <c r="B178" t="s">
        <v>62</v>
      </c>
      <c r="C178">
        <v>50042</v>
      </c>
      <c r="D178" t="s">
        <v>28</v>
      </c>
      <c r="E178" s="3">
        <v>1082.0464257481649</v>
      </c>
      <c r="F178" s="3">
        <v>-105.4039797839613</v>
      </c>
      <c r="G178" s="3">
        <v>-354.29016875224568</v>
      </c>
      <c r="H178">
        <v>8</v>
      </c>
      <c r="I178" t="s">
        <v>23</v>
      </c>
      <c r="J178" t="s">
        <v>68</v>
      </c>
    </row>
    <row r="179" spans="1:10" x14ac:dyDescent="0.3">
      <c r="A179">
        <v>177</v>
      </c>
      <c r="B179" t="s">
        <v>62</v>
      </c>
      <c r="C179">
        <v>50506</v>
      </c>
      <c r="D179" t="s">
        <v>30</v>
      </c>
      <c r="E179" s="3">
        <v>1147.6546972236069</v>
      </c>
      <c r="F179" s="3">
        <v>-33.625690504620422</v>
      </c>
      <c r="G179" s="3">
        <v>-459.23027410299301</v>
      </c>
      <c r="H179">
        <v>8</v>
      </c>
      <c r="I179" t="s">
        <v>23</v>
      </c>
      <c r="J179" t="s">
        <v>68</v>
      </c>
    </row>
    <row r="180" spans="1:10" x14ac:dyDescent="0.3">
      <c r="A180">
        <v>178</v>
      </c>
      <c r="B180" t="s">
        <v>62</v>
      </c>
      <c r="C180">
        <v>50507</v>
      </c>
      <c r="D180" t="s">
        <v>31</v>
      </c>
      <c r="E180" s="3">
        <v>674.8814883115856</v>
      </c>
      <c r="F180" s="3">
        <v>-41.993274901284991</v>
      </c>
      <c r="G180" s="3">
        <v>-1091.813552233142</v>
      </c>
      <c r="H180">
        <v>8</v>
      </c>
      <c r="I180" t="s">
        <v>23</v>
      </c>
      <c r="J180" t="s">
        <v>68</v>
      </c>
    </row>
    <row r="181" spans="1:10" x14ac:dyDescent="0.3">
      <c r="A181">
        <v>179</v>
      </c>
      <c r="B181" t="s">
        <v>62</v>
      </c>
      <c r="C181">
        <v>50509</v>
      </c>
      <c r="D181" t="s">
        <v>32</v>
      </c>
      <c r="E181" s="3">
        <v>486.0241916463886</v>
      </c>
      <c r="F181" s="3">
        <v>-397.33736502550522</v>
      </c>
      <c r="G181" s="3">
        <v>445.78766384446499</v>
      </c>
      <c r="H181">
        <v>8</v>
      </c>
      <c r="I181" t="s">
        <v>23</v>
      </c>
      <c r="J181" t="s">
        <v>68</v>
      </c>
    </row>
    <row r="182" spans="1:10" x14ac:dyDescent="0.3">
      <c r="A182">
        <v>180</v>
      </c>
      <c r="B182" t="s">
        <v>62</v>
      </c>
      <c r="C182">
        <v>50057</v>
      </c>
      <c r="D182" t="s">
        <v>33</v>
      </c>
      <c r="E182" s="3">
        <v>380.75761247173091</v>
      </c>
      <c r="F182" s="3">
        <v>-100.8914511690116</v>
      </c>
      <c r="G182" s="3">
        <v>-129.1018670503359</v>
      </c>
      <c r="H182">
        <v>8</v>
      </c>
      <c r="I182" t="s">
        <v>23</v>
      </c>
      <c r="J182" t="s">
        <v>68</v>
      </c>
    </row>
    <row r="183" spans="1:10" x14ac:dyDescent="0.3">
      <c r="A183">
        <v>181</v>
      </c>
      <c r="B183" t="s">
        <v>62</v>
      </c>
      <c r="C183">
        <v>50087</v>
      </c>
      <c r="D183" t="s">
        <v>34</v>
      </c>
      <c r="E183" s="3">
        <v>1193.303694134594</v>
      </c>
      <c r="F183" s="3">
        <v>-647.5354236408964</v>
      </c>
      <c r="G183" s="3">
        <v>-967.423127872137</v>
      </c>
      <c r="H183">
        <v>8</v>
      </c>
      <c r="I183" t="s">
        <v>23</v>
      </c>
      <c r="J183" t="s">
        <v>68</v>
      </c>
    </row>
    <row r="184" spans="1:10" x14ac:dyDescent="0.3">
      <c r="A184">
        <v>182</v>
      </c>
      <c r="B184" t="s">
        <v>62</v>
      </c>
      <c r="C184">
        <v>50092</v>
      </c>
      <c r="D184" t="s">
        <v>35</v>
      </c>
      <c r="E184" s="3">
        <v>530.79499363073501</v>
      </c>
      <c r="F184" s="3">
        <v>-105.47100548871791</v>
      </c>
      <c r="G184" s="3">
        <v>-859.39773462333574</v>
      </c>
      <c r="H184">
        <v>8</v>
      </c>
      <c r="I184" t="s">
        <v>23</v>
      </c>
      <c r="J184" t="s">
        <v>68</v>
      </c>
    </row>
    <row r="185" spans="1:10" x14ac:dyDescent="0.3">
      <c r="A185">
        <v>183</v>
      </c>
      <c r="B185" t="s">
        <v>62</v>
      </c>
      <c r="C185">
        <v>50096</v>
      </c>
      <c r="D185" t="s">
        <v>36</v>
      </c>
      <c r="E185" s="3">
        <v>424.96747086920618</v>
      </c>
      <c r="F185" s="3">
        <v>6.136171912240874</v>
      </c>
      <c r="G185" s="3">
        <v>305.84498686516542</v>
      </c>
      <c r="H185">
        <v>8</v>
      </c>
      <c r="I185" t="s">
        <v>23</v>
      </c>
      <c r="J185" t="s">
        <v>68</v>
      </c>
    </row>
    <row r="186" spans="1:10" x14ac:dyDescent="0.3">
      <c r="A186">
        <v>184</v>
      </c>
      <c r="B186" t="s">
        <v>63</v>
      </c>
      <c r="C186">
        <v>1005</v>
      </c>
      <c r="D186" t="s">
        <v>42</v>
      </c>
      <c r="E186" s="3">
        <v>575.67660000000001</v>
      </c>
      <c r="F186" s="3">
        <v>-53.408299999999997</v>
      </c>
      <c r="G186" s="3">
        <v>347.34100000000001</v>
      </c>
      <c r="H186">
        <v>9</v>
      </c>
      <c r="I186" t="s">
        <v>17</v>
      </c>
    </row>
    <row r="187" spans="1:10" x14ac:dyDescent="0.3">
      <c r="A187">
        <v>185</v>
      </c>
      <c r="B187" t="s">
        <v>63</v>
      </c>
      <c r="C187">
        <v>1012</v>
      </c>
      <c r="D187" t="s">
        <v>43</v>
      </c>
      <c r="E187" s="3">
        <v>1296.7348999999999</v>
      </c>
      <c r="F187" s="3">
        <v>-44.492600000000003</v>
      </c>
      <c r="G187" s="3">
        <v>-489.34469999999999</v>
      </c>
      <c r="H187">
        <v>9</v>
      </c>
      <c r="I187" t="s">
        <v>17</v>
      </c>
    </row>
    <row r="188" spans="1:10" x14ac:dyDescent="0.3">
      <c r="A188">
        <v>186</v>
      </c>
      <c r="B188" t="s">
        <v>63</v>
      </c>
      <c r="C188">
        <v>1017</v>
      </c>
      <c r="D188" t="s">
        <v>44</v>
      </c>
      <c r="E188" s="3">
        <v>604.62</v>
      </c>
      <c r="F188" s="3">
        <v>-43.492400000000004</v>
      </c>
      <c r="G188" s="3">
        <v>-1114.9730999999999</v>
      </c>
      <c r="H188">
        <v>9</v>
      </c>
      <c r="I188" t="s">
        <v>17</v>
      </c>
    </row>
    <row r="189" spans="1:10" x14ac:dyDescent="0.3">
      <c r="A189">
        <v>187</v>
      </c>
      <c r="B189" t="s">
        <v>63</v>
      </c>
      <c r="C189">
        <v>1001</v>
      </c>
      <c r="D189" t="s">
        <v>45</v>
      </c>
      <c r="E189" s="3">
        <v>-115.61799999999999</v>
      </c>
      <c r="F189" s="3">
        <v>-52.151499999999999</v>
      </c>
      <c r="G189" s="3">
        <v>-283.08890000000002</v>
      </c>
      <c r="H189">
        <v>9</v>
      </c>
      <c r="I189" t="s">
        <v>17</v>
      </c>
    </row>
    <row r="190" spans="1:10" x14ac:dyDescent="0.3">
      <c r="A190">
        <v>188</v>
      </c>
      <c r="B190" t="s">
        <v>63</v>
      </c>
      <c r="C190">
        <v>50501</v>
      </c>
      <c r="D190" t="s">
        <v>67</v>
      </c>
      <c r="E190" s="3">
        <v>-0.12042106652853039</v>
      </c>
      <c r="F190" s="3">
        <v>-0.97467488262486546</v>
      </c>
      <c r="G190" s="3">
        <v>-0.12042993433114391</v>
      </c>
      <c r="H190">
        <v>9</v>
      </c>
      <c r="I190" t="s">
        <v>11</v>
      </c>
      <c r="J190" t="s">
        <v>68</v>
      </c>
    </row>
    <row r="191" spans="1:10" x14ac:dyDescent="0.3">
      <c r="A191">
        <v>189</v>
      </c>
      <c r="B191" t="s">
        <v>63</v>
      </c>
      <c r="C191">
        <v>50502</v>
      </c>
      <c r="D191" t="s">
        <v>69</v>
      </c>
      <c r="E191" s="3">
        <v>172.01829068030841</v>
      </c>
      <c r="F191" s="3">
        <v>-0.128354795647148</v>
      </c>
      <c r="G191" s="3">
        <v>-175.39192492558661</v>
      </c>
      <c r="H191">
        <v>9</v>
      </c>
      <c r="I191" t="s">
        <v>11</v>
      </c>
      <c r="J191" t="s">
        <v>68</v>
      </c>
    </row>
    <row r="192" spans="1:10" x14ac:dyDescent="0.3">
      <c r="A192">
        <v>190</v>
      </c>
      <c r="B192" t="s">
        <v>63</v>
      </c>
      <c r="C192">
        <v>50503</v>
      </c>
      <c r="D192" t="s">
        <v>70</v>
      </c>
      <c r="E192" s="3">
        <v>170.588438945581</v>
      </c>
      <c r="F192" s="3">
        <v>-1.121476011829301</v>
      </c>
      <c r="G192" s="3">
        <v>-1.091134562127217</v>
      </c>
      <c r="H192">
        <v>9</v>
      </c>
      <c r="I192" t="s">
        <v>11</v>
      </c>
      <c r="J192" t="s">
        <v>68</v>
      </c>
    </row>
    <row r="193" spans="1:10" x14ac:dyDescent="0.3">
      <c r="A193">
        <v>191</v>
      </c>
      <c r="B193" t="s">
        <v>63</v>
      </c>
      <c r="C193">
        <v>50504</v>
      </c>
      <c r="D193" t="s">
        <v>71</v>
      </c>
      <c r="E193" s="3">
        <v>346.34121937554471</v>
      </c>
      <c r="F193" s="3">
        <v>-0.1787579621694656</v>
      </c>
      <c r="G193" s="3">
        <v>-9.1294161957270803E-2</v>
      </c>
      <c r="H193">
        <v>9</v>
      </c>
      <c r="I193" t="s">
        <v>11</v>
      </c>
      <c r="J193" t="s">
        <v>68</v>
      </c>
    </row>
    <row r="194" spans="1:10" x14ac:dyDescent="0.3">
      <c r="A194">
        <v>192</v>
      </c>
      <c r="B194" t="s">
        <v>63</v>
      </c>
      <c r="C194">
        <v>50505</v>
      </c>
      <c r="D194" t="s">
        <v>72</v>
      </c>
      <c r="E194" s="3">
        <v>169.75624496058461</v>
      </c>
      <c r="F194" s="3">
        <v>-0.92974087536729022</v>
      </c>
      <c r="G194" s="3">
        <v>175.0277828534893</v>
      </c>
      <c r="H194">
        <v>9</v>
      </c>
      <c r="I194" t="s">
        <v>11</v>
      </c>
      <c r="J194" t="s">
        <v>68</v>
      </c>
    </row>
    <row r="195" spans="1:10" x14ac:dyDescent="0.3">
      <c r="A195">
        <v>193</v>
      </c>
      <c r="B195" t="s">
        <v>63</v>
      </c>
      <c r="C195">
        <v>50116</v>
      </c>
      <c r="D195" t="s">
        <v>22</v>
      </c>
      <c r="E195" s="3">
        <v>1013.0327321775339</v>
      </c>
      <c r="F195" s="3">
        <v>-622.61721966914592</v>
      </c>
      <c r="G195" s="3">
        <v>-1136.441003557215</v>
      </c>
      <c r="H195">
        <v>9</v>
      </c>
      <c r="I195" t="s">
        <v>23</v>
      </c>
      <c r="J195" t="s">
        <v>68</v>
      </c>
    </row>
    <row r="196" spans="1:10" x14ac:dyDescent="0.3">
      <c r="A196">
        <v>194</v>
      </c>
      <c r="B196" t="s">
        <v>63</v>
      </c>
      <c r="C196">
        <v>50121</v>
      </c>
      <c r="D196" t="s">
        <v>24</v>
      </c>
      <c r="E196" s="3">
        <v>635.43441826789058</v>
      </c>
      <c r="F196" s="3">
        <v>-99.551357611045034</v>
      </c>
      <c r="G196" s="3">
        <v>95.970521035730854</v>
      </c>
      <c r="H196">
        <v>9</v>
      </c>
      <c r="I196" t="s">
        <v>23</v>
      </c>
      <c r="J196" t="s">
        <v>68</v>
      </c>
    </row>
    <row r="197" spans="1:10" x14ac:dyDescent="0.3">
      <c r="A197">
        <v>195</v>
      </c>
      <c r="B197" t="s">
        <v>63</v>
      </c>
      <c r="C197">
        <v>50013</v>
      </c>
      <c r="D197" t="s">
        <v>25</v>
      </c>
      <c r="E197" s="3">
        <v>279.69670334393618</v>
      </c>
      <c r="F197" s="3">
        <v>2.5043540540353781</v>
      </c>
      <c r="G197" s="3">
        <v>200.7499923107726</v>
      </c>
      <c r="H197">
        <v>9</v>
      </c>
      <c r="I197" t="s">
        <v>23</v>
      </c>
      <c r="J197" t="s">
        <v>68</v>
      </c>
    </row>
    <row r="198" spans="1:10" x14ac:dyDescent="0.3">
      <c r="A198">
        <v>196</v>
      </c>
      <c r="B198" t="s">
        <v>63</v>
      </c>
      <c r="C198">
        <v>50034</v>
      </c>
      <c r="D198" t="s">
        <v>26</v>
      </c>
      <c r="E198" s="3">
        <v>757.7786813395029</v>
      </c>
      <c r="F198" s="3">
        <v>-93.500806110399267</v>
      </c>
      <c r="G198" s="3">
        <v>-665.89918264036464</v>
      </c>
      <c r="H198">
        <v>9</v>
      </c>
      <c r="I198" t="s">
        <v>23</v>
      </c>
      <c r="J198" t="s">
        <v>68</v>
      </c>
    </row>
    <row r="199" spans="1:10" x14ac:dyDescent="0.3">
      <c r="A199">
        <v>197</v>
      </c>
      <c r="B199" t="s">
        <v>63</v>
      </c>
      <c r="C199">
        <v>50037</v>
      </c>
      <c r="D199" t="s">
        <v>27</v>
      </c>
      <c r="E199" s="3">
        <v>33.371847912507278</v>
      </c>
      <c r="F199" s="3">
        <v>-99.2884895842801</v>
      </c>
      <c r="G199" s="3">
        <v>-390.93915793050121</v>
      </c>
      <c r="H199">
        <v>9</v>
      </c>
      <c r="I199" t="s">
        <v>23</v>
      </c>
      <c r="J199" t="s">
        <v>68</v>
      </c>
    </row>
    <row r="200" spans="1:10" x14ac:dyDescent="0.3">
      <c r="A200">
        <v>199</v>
      </c>
      <c r="B200" t="s">
        <v>63</v>
      </c>
      <c r="C200">
        <v>50004</v>
      </c>
      <c r="D200" t="s">
        <v>29</v>
      </c>
      <c r="E200" s="3">
        <v>1046.5421380772909</v>
      </c>
      <c r="F200" s="3">
        <v>-510.34687065312278</v>
      </c>
      <c r="G200" s="3">
        <v>-1106.098468191235</v>
      </c>
      <c r="H200">
        <v>9</v>
      </c>
      <c r="I200" t="s">
        <v>23</v>
      </c>
      <c r="J200" t="s">
        <v>68</v>
      </c>
    </row>
    <row r="201" spans="1:10" x14ac:dyDescent="0.3">
      <c r="A201">
        <v>198</v>
      </c>
      <c r="B201" t="s">
        <v>63</v>
      </c>
      <c r="C201">
        <v>50042</v>
      </c>
      <c r="D201" t="s">
        <v>28</v>
      </c>
      <c r="E201" s="3">
        <v>1083.2442818449811</v>
      </c>
      <c r="F201" s="3">
        <v>-95.229528783422197</v>
      </c>
      <c r="G201" s="3">
        <v>-356.68962031567179</v>
      </c>
      <c r="H201">
        <v>9</v>
      </c>
      <c r="I201" t="s">
        <v>23</v>
      </c>
      <c r="J201" t="s">
        <v>68</v>
      </c>
    </row>
    <row r="202" spans="1:10" x14ac:dyDescent="0.3">
      <c r="A202">
        <v>200</v>
      </c>
      <c r="B202" t="s">
        <v>63</v>
      </c>
      <c r="C202">
        <v>50506</v>
      </c>
      <c r="D202" t="s">
        <v>30</v>
      </c>
      <c r="E202" s="3">
        <v>1148.372368724464</v>
      </c>
      <c r="F202" s="3">
        <v>-21.611215326899249</v>
      </c>
      <c r="G202" s="3">
        <v>-460.64956467947792</v>
      </c>
      <c r="H202">
        <v>9</v>
      </c>
      <c r="I202" t="s">
        <v>23</v>
      </c>
      <c r="J202" t="s">
        <v>68</v>
      </c>
    </row>
    <row r="203" spans="1:10" x14ac:dyDescent="0.3">
      <c r="A203">
        <v>201</v>
      </c>
      <c r="B203" t="s">
        <v>63</v>
      </c>
      <c r="C203">
        <v>50507</v>
      </c>
      <c r="D203" t="s">
        <v>31</v>
      </c>
      <c r="E203" s="3">
        <v>676.37329253678649</v>
      </c>
      <c r="F203" s="3">
        <v>-25.988647147655811</v>
      </c>
      <c r="G203" s="3">
        <v>-1093.8508261059869</v>
      </c>
      <c r="H203">
        <v>9</v>
      </c>
      <c r="I203" t="s">
        <v>23</v>
      </c>
      <c r="J203" t="s">
        <v>68</v>
      </c>
    </row>
    <row r="204" spans="1:10" x14ac:dyDescent="0.3">
      <c r="A204">
        <v>202</v>
      </c>
      <c r="B204" t="s">
        <v>63</v>
      </c>
      <c r="C204">
        <v>50509</v>
      </c>
      <c r="D204" t="s">
        <v>32</v>
      </c>
      <c r="E204" s="3">
        <v>488.78002876331539</v>
      </c>
      <c r="F204" s="3">
        <v>-402.00911008869912</v>
      </c>
      <c r="G204" s="3">
        <v>438.98033857251289</v>
      </c>
      <c r="H204">
        <v>9</v>
      </c>
      <c r="I204" t="s">
        <v>23</v>
      </c>
      <c r="J204" t="s">
        <v>68</v>
      </c>
    </row>
    <row r="205" spans="1:10" x14ac:dyDescent="0.3">
      <c r="A205">
        <v>203</v>
      </c>
      <c r="B205" t="s">
        <v>63</v>
      </c>
      <c r="C205">
        <v>50057</v>
      </c>
      <c r="D205" t="s">
        <v>33</v>
      </c>
      <c r="E205" s="3">
        <v>381.69734601205602</v>
      </c>
      <c r="F205" s="3">
        <v>-99.299300454316949</v>
      </c>
      <c r="G205" s="3">
        <v>-132.29829350792741</v>
      </c>
      <c r="H205">
        <v>9</v>
      </c>
      <c r="I205" t="s">
        <v>23</v>
      </c>
      <c r="J205" t="s">
        <v>68</v>
      </c>
    </row>
    <row r="206" spans="1:10" x14ac:dyDescent="0.3">
      <c r="A206">
        <v>204</v>
      </c>
      <c r="B206" t="s">
        <v>63</v>
      </c>
      <c r="C206">
        <v>50087</v>
      </c>
      <c r="D206" t="s">
        <v>34</v>
      </c>
      <c r="E206" s="3">
        <v>1199.63781147639</v>
      </c>
      <c r="F206" s="3">
        <v>-628.74372034003886</v>
      </c>
      <c r="G206" s="3">
        <v>-976.39266324346124</v>
      </c>
      <c r="H206">
        <v>9</v>
      </c>
      <c r="I206" t="s">
        <v>23</v>
      </c>
      <c r="J206" t="s">
        <v>68</v>
      </c>
    </row>
    <row r="207" spans="1:10" x14ac:dyDescent="0.3">
      <c r="A207">
        <v>205</v>
      </c>
      <c r="B207" t="s">
        <v>63</v>
      </c>
      <c r="C207">
        <v>50092</v>
      </c>
      <c r="D207" t="s">
        <v>35</v>
      </c>
      <c r="E207" s="3">
        <v>532.56243005849319</v>
      </c>
      <c r="F207" s="3">
        <v>-93.542178421059049</v>
      </c>
      <c r="G207" s="3">
        <v>-862.4152870223744</v>
      </c>
      <c r="H207">
        <v>9</v>
      </c>
      <c r="I207" t="s">
        <v>23</v>
      </c>
      <c r="J207" t="s">
        <v>68</v>
      </c>
    </row>
    <row r="208" spans="1:10" x14ac:dyDescent="0.3">
      <c r="A208">
        <v>206</v>
      </c>
      <c r="B208" t="s">
        <v>63</v>
      </c>
      <c r="C208">
        <v>50096</v>
      </c>
      <c r="D208" t="s">
        <v>36</v>
      </c>
      <c r="E208" s="3">
        <v>424.54914821002689</v>
      </c>
      <c r="F208" s="3">
        <v>2.6604452178821121</v>
      </c>
      <c r="G208" s="3">
        <v>303.99991038911622</v>
      </c>
      <c r="H208">
        <v>9</v>
      </c>
      <c r="I208" t="s">
        <v>23</v>
      </c>
      <c r="J208" t="s">
        <v>68</v>
      </c>
    </row>
    <row r="209" spans="1:10" x14ac:dyDescent="0.3">
      <c r="A209">
        <v>207</v>
      </c>
      <c r="B209" t="s">
        <v>64</v>
      </c>
      <c r="C209">
        <v>1010</v>
      </c>
      <c r="D209" t="s">
        <v>42</v>
      </c>
      <c r="E209" s="3">
        <v>575.43460000000005</v>
      </c>
      <c r="F209" s="3">
        <v>-53.204999999999998</v>
      </c>
      <c r="G209" s="3">
        <v>348.20100000000002</v>
      </c>
      <c r="H209">
        <v>10</v>
      </c>
      <c r="I209" t="s">
        <v>17</v>
      </c>
    </row>
    <row r="210" spans="1:10" x14ac:dyDescent="0.3">
      <c r="A210">
        <v>208</v>
      </c>
      <c r="B210" t="s">
        <v>64</v>
      </c>
      <c r="C210">
        <v>1008</v>
      </c>
      <c r="D210" t="s">
        <v>43</v>
      </c>
      <c r="E210" s="3">
        <v>1296.2637</v>
      </c>
      <c r="F210" s="3">
        <v>-49.858600000000003</v>
      </c>
      <c r="G210" s="3">
        <v>-488.77679999999998</v>
      </c>
      <c r="H210">
        <v>10</v>
      </c>
      <c r="I210" t="s">
        <v>17</v>
      </c>
    </row>
    <row r="211" spans="1:10" x14ac:dyDescent="0.3">
      <c r="A211">
        <v>209</v>
      </c>
      <c r="B211" t="s">
        <v>64</v>
      </c>
      <c r="C211">
        <v>1018</v>
      </c>
      <c r="D211" t="s">
        <v>44</v>
      </c>
      <c r="E211" s="3">
        <v>603.95330000000001</v>
      </c>
      <c r="F211" s="3">
        <v>-47.664400000000001</v>
      </c>
      <c r="G211" s="3">
        <v>-1114.1817000000001</v>
      </c>
      <c r="H211">
        <v>10</v>
      </c>
      <c r="I211" t="s">
        <v>17</v>
      </c>
    </row>
    <row r="212" spans="1:10" x14ac:dyDescent="0.3">
      <c r="A212">
        <v>210</v>
      </c>
      <c r="B212" t="s">
        <v>64</v>
      </c>
      <c r="C212">
        <v>1001</v>
      </c>
      <c r="D212" t="s">
        <v>45</v>
      </c>
      <c r="E212" s="3">
        <v>-116.047</v>
      </c>
      <c r="F212" s="3">
        <v>-50.867899999999999</v>
      </c>
      <c r="G212" s="3">
        <v>-282.0419</v>
      </c>
      <c r="H212">
        <v>10</v>
      </c>
      <c r="I212" t="s">
        <v>17</v>
      </c>
    </row>
    <row r="213" spans="1:10" x14ac:dyDescent="0.3">
      <c r="A213">
        <v>211</v>
      </c>
      <c r="B213" t="s">
        <v>64</v>
      </c>
      <c r="C213">
        <v>50501</v>
      </c>
      <c r="D213" t="s">
        <v>67</v>
      </c>
      <c r="E213" s="3">
        <v>-0.2380685630791575</v>
      </c>
      <c r="F213" s="3">
        <v>0.66028402191240543</v>
      </c>
      <c r="G213" s="3">
        <v>0.74266305182543446</v>
      </c>
      <c r="H213">
        <v>10</v>
      </c>
      <c r="I213" t="s">
        <v>11</v>
      </c>
      <c r="J213" t="s">
        <v>68</v>
      </c>
    </row>
    <row r="214" spans="1:10" x14ac:dyDescent="0.3">
      <c r="A214">
        <v>212</v>
      </c>
      <c r="B214" t="s">
        <v>64</v>
      </c>
      <c r="C214">
        <v>50502</v>
      </c>
      <c r="D214" t="s">
        <v>69</v>
      </c>
      <c r="E214" s="3">
        <v>171.84526417760739</v>
      </c>
      <c r="F214" s="3">
        <v>0.25964599948101802</v>
      </c>
      <c r="G214" s="3">
        <v>-174.58478881482631</v>
      </c>
      <c r="H214">
        <v>10</v>
      </c>
      <c r="I214" t="s">
        <v>11</v>
      </c>
      <c r="J214" t="s">
        <v>68</v>
      </c>
    </row>
    <row r="215" spans="1:10" x14ac:dyDescent="0.3">
      <c r="A215">
        <v>213</v>
      </c>
      <c r="B215" t="s">
        <v>64</v>
      </c>
      <c r="C215">
        <v>50503</v>
      </c>
      <c r="D215" t="s">
        <v>70</v>
      </c>
      <c r="E215" s="3">
        <v>170.46827012124939</v>
      </c>
      <c r="F215" s="3">
        <v>-0.2205803205914342</v>
      </c>
      <c r="G215" s="3">
        <v>-0.28140514970564823</v>
      </c>
      <c r="H215">
        <v>10</v>
      </c>
      <c r="I215" t="s">
        <v>11</v>
      </c>
      <c r="J215" t="s">
        <v>68</v>
      </c>
    </row>
    <row r="216" spans="1:10" x14ac:dyDescent="0.3">
      <c r="A216">
        <v>214</v>
      </c>
      <c r="B216" t="s">
        <v>64</v>
      </c>
      <c r="C216">
        <v>50504</v>
      </c>
      <c r="D216" t="s">
        <v>71</v>
      </c>
      <c r="E216" s="3">
        <v>346.22379422210918</v>
      </c>
      <c r="F216" s="3">
        <v>-2.7816958571188159E-2</v>
      </c>
      <c r="G216" s="3">
        <v>0.66030464018759283</v>
      </c>
      <c r="H216">
        <v>10</v>
      </c>
      <c r="I216" t="s">
        <v>11</v>
      </c>
      <c r="J216" t="s">
        <v>68</v>
      </c>
    </row>
    <row r="217" spans="1:10" x14ac:dyDescent="0.3">
      <c r="A217">
        <v>215</v>
      </c>
      <c r="B217" t="s">
        <v>64</v>
      </c>
      <c r="C217">
        <v>50505</v>
      </c>
      <c r="D217" t="s">
        <v>72</v>
      </c>
      <c r="E217" s="3">
        <v>169.6945981912815</v>
      </c>
      <c r="F217" s="3">
        <v>0.4867596925329708</v>
      </c>
      <c r="G217" s="3">
        <v>175.83646300310451</v>
      </c>
      <c r="H217">
        <v>10</v>
      </c>
      <c r="I217" t="s">
        <v>11</v>
      </c>
      <c r="J217" t="s">
        <v>68</v>
      </c>
    </row>
    <row r="218" spans="1:10" x14ac:dyDescent="0.3">
      <c r="A218">
        <v>216</v>
      </c>
      <c r="B218" t="s">
        <v>64</v>
      </c>
      <c r="C218">
        <v>50116</v>
      </c>
      <c r="D218" t="s">
        <v>22</v>
      </c>
      <c r="E218" s="3">
        <v>1009.871234838535</v>
      </c>
      <c r="F218" s="3">
        <v>-628.61754367479716</v>
      </c>
      <c r="G218" s="3">
        <v>-1134.0841176537169</v>
      </c>
      <c r="H218">
        <v>10</v>
      </c>
      <c r="I218" t="s">
        <v>23</v>
      </c>
      <c r="J218" t="s">
        <v>68</v>
      </c>
    </row>
    <row r="219" spans="1:10" x14ac:dyDescent="0.3">
      <c r="A219">
        <v>217</v>
      </c>
      <c r="B219" t="s">
        <v>64</v>
      </c>
      <c r="C219">
        <v>50121</v>
      </c>
      <c r="D219" t="s">
        <v>24</v>
      </c>
      <c r="E219" s="3">
        <v>634.92021810752226</v>
      </c>
      <c r="F219" s="3">
        <v>-100.3581481036771</v>
      </c>
      <c r="G219" s="3">
        <v>96.919657608858799</v>
      </c>
      <c r="H219">
        <v>10</v>
      </c>
      <c r="I219" t="s">
        <v>23</v>
      </c>
      <c r="J219" t="s">
        <v>68</v>
      </c>
    </row>
    <row r="220" spans="1:10" x14ac:dyDescent="0.3">
      <c r="A220">
        <v>218</v>
      </c>
      <c r="B220" t="s">
        <v>64</v>
      </c>
      <c r="C220">
        <v>50013</v>
      </c>
      <c r="D220" t="s">
        <v>25</v>
      </c>
      <c r="E220" s="3">
        <v>279.65717554680299</v>
      </c>
      <c r="F220" s="3">
        <v>3.524655144351279</v>
      </c>
      <c r="G220" s="3">
        <v>201.5139284045955</v>
      </c>
      <c r="H220">
        <v>10</v>
      </c>
      <c r="I220" t="s">
        <v>23</v>
      </c>
      <c r="J220" t="s">
        <v>68</v>
      </c>
    </row>
    <row r="221" spans="1:10" x14ac:dyDescent="0.3">
      <c r="A221">
        <v>219</v>
      </c>
      <c r="B221" t="s">
        <v>64</v>
      </c>
      <c r="C221">
        <v>50034</v>
      </c>
      <c r="D221" t="s">
        <v>26</v>
      </c>
      <c r="E221" s="3">
        <v>757.0396907515111</v>
      </c>
      <c r="F221" s="3">
        <v>-97.046784021852631</v>
      </c>
      <c r="G221" s="3">
        <v>-665.00293854417009</v>
      </c>
      <c r="H221">
        <v>10</v>
      </c>
      <c r="I221" t="s">
        <v>23</v>
      </c>
      <c r="J221" t="s">
        <v>68</v>
      </c>
    </row>
    <row r="222" spans="1:10" x14ac:dyDescent="0.3">
      <c r="A222">
        <v>220</v>
      </c>
      <c r="B222" t="s">
        <v>64</v>
      </c>
      <c r="C222">
        <v>50037</v>
      </c>
      <c r="D222" t="s">
        <v>27</v>
      </c>
      <c r="E222" s="3">
        <v>32.704824587775569</v>
      </c>
      <c r="F222" s="3">
        <v>-98.931933853867719</v>
      </c>
      <c r="G222" s="3">
        <v>-389.79897662893183</v>
      </c>
      <c r="H222">
        <v>10</v>
      </c>
      <c r="I222" t="s">
        <v>23</v>
      </c>
      <c r="J222" t="s">
        <v>68</v>
      </c>
    </row>
    <row r="223" spans="1:10" x14ac:dyDescent="0.3">
      <c r="A223">
        <v>222</v>
      </c>
      <c r="B223" t="s">
        <v>64</v>
      </c>
      <c r="C223">
        <v>50004</v>
      </c>
      <c r="D223" t="s">
        <v>29</v>
      </c>
      <c r="E223" s="3">
        <v>1043.871084024451</v>
      </c>
      <c r="F223" s="3">
        <v>-516.40402205564249</v>
      </c>
      <c r="G223" s="3">
        <v>-1104.078837692809</v>
      </c>
      <c r="H223">
        <v>10</v>
      </c>
      <c r="I223" t="s">
        <v>23</v>
      </c>
      <c r="J223" t="s">
        <v>68</v>
      </c>
    </row>
    <row r="224" spans="1:10" x14ac:dyDescent="0.3">
      <c r="A224">
        <v>221</v>
      </c>
      <c r="B224" t="s">
        <v>64</v>
      </c>
      <c r="C224">
        <v>50042</v>
      </c>
      <c r="D224" t="s">
        <v>28</v>
      </c>
      <c r="E224" s="3">
        <v>1082.5961768626501</v>
      </c>
      <c r="F224" s="3">
        <v>-99.270651203706024</v>
      </c>
      <c r="G224" s="3">
        <v>-355.89223379063787</v>
      </c>
      <c r="H224">
        <v>10</v>
      </c>
      <c r="I224" t="s">
        <v>23</v>
      </c>
      <c r="J224" t="s">
        <v>68</v>
      </c>
    </row>
    <row r="225" spans="1:10" x14ac:dyDescent="0.3">
      <c r="A225">
        <v>223</v>
      </c>
      <c r="B225" t="s">
        <v>64</v>
      </c>
      <c r="C225">
        <v>50506</v>
      </c>
      <c r="D225" t="s">
        <v>30</v>
      </c>
      <c r="E225" s="3">
        <v>1148.004887908183</v>
      </c>
      <c r="F225" s="3">
        <v>-26.234554805421791</v>
      </c>
      <c r="G225" s="3">
        <v>-460.08639366129722</v>
      </c>
      <c r="H225">
        <v>10</v>
      </c>
      <c r="I225" t="s">
        <v>23</v>
      </c>
      <c r="J225" t="s">
        <v>68</v>
      </c>
    </row>
    <row r="226" spans="1:10" x14ac:dyDescent="0.3">
      <c r="A226">
        <v>224</v>
      </c>
      <c r="B226" t="s">
        <v>64</v>
      </c>
      <c r="C226">
        <v>50507</v>
      </c>
      <c r="D226" t="s">
        <v>31</v>
      </c>
      <c r="E226" s="3">
        <v>675.7839937523346</v>
      </c>
      <c r="F226" s="3">
        <v>-30.431037637071331</v>
      </c>
      <c r="G226" s="3">
        <v>-1093.1234731108229</v>
      </c>
      <c r="H226">
        <v>10</v>
      </c>
      <c r="I226" t="s">
        <v>23</v>
      </c>
      <c r="J226" t="s">
        <v>68</v>
      </c>
    </row>
    <row r="227" spans="1:10" x14ac:dyDescent="0.3">
      <c r="A227">
        <v>225</v>
      </c>
      <c r="B227" t="s">
        <v>64</v>
      </c>
      <c r="C227">
        <v>50509</v>
      </c>
      <c r="D227" t="s">
        <v>32</v>
      </c>
      <c r="E227" s="3">
        <v>487.08422928727202</v>
      </c>
      <c r="F227" s="3">
        <v>-401.18638720668088</v>
      </c>
      <c r="G227" s="3">
        <v>440.85399420399278</v>
      </c>
      <c r="H227">
        <v>10</v>
      </c>
      <c r="I227" t="s">
        <v>23</v>
      </c>
      <c r="J227" t="s">
        <v>68</v>
      </c>
    </row>
    <row r="228" spans="1:10" x14ac:dyDescent="0.3">
      <c r="A228">
        <v>226</v>
      </c>
      <c r="B228" t="s">
        <v>64</v>
      </c>
      <c r="C228">
        <v>50057</v>
      </c>
      <c r="D228" t="s">
        <v>33</v>
      </c>
      <c r="E228" s="3">
        <v>381.11178926064542</v>
      </c>
      <c r="F228" s="3">
        <v>-99.682856043079198</v>
      </c>
      <c r="G228" s="3">
        <v>-131.2689540479299</v>
      </c>
      <c r="H228">
        <v>10</v>
      </c>
      <c r="I228" t="s">
        <v>23</v>
      </c>
      <c r="J228" t="s">
        <v>68</v>
      </c>
    </row>
    <row r="229" spans="1:10" x14ac:dyDescent="0.3">
      <c r="A229">
        <v>227</v>
      </c>
      <c r="B229" t="s">
        <v>64</v>
      </c>
      <c r="C229">
        <v>50087</v>
      </c>
      <c r="D229" t="s">
        <v>34</v>
      </c>
      <c r="E229" s="3">
        <v>1196.500784132618</v>
      </c>
      <c r="F229" s="3">
        <v>-635.07797817402184</v>
      </c>
      <c r="G229" s="3">
        <v>-974.0774459673197</v>
      </c>
      <c r="H229">
        <v>10</v>
      </c>
      <c r="I229" t="s">
        <v>23</v>
      </c>
      <c r="J229" t="s">
        <v>68</v>
      </c>
    </row>
    <row r="230" spans="1:10" x14ac:dyDescent="0.3">
      <c r="A230">
        <v>228</v>
      </c>
      <c r="B230" t="s">
        <v>64</v>
      </c>
      <c r="C230">
        <v>50092</v>
      </c>
      <c r="D230" t="s">
        <v>35</v>
      </c>
      <c r="E230" s="3">
        <v>531.760964738805</v>
      </c>
      <c r="F230" s="3">
        <v>-96.69477152185928</v>
      </c>
      <c r="G230" s="3">
        <v>-861.44711007265278</v>
      </c>
      <c r="H230">
        <v>10</v>
      </c>
      <c r="I230" t="s">
        <v>23</v>
      </c>
      <c r="J230" t="s">
        <v>68</v>
      </c>
    </row>
    <row r="231" spans="1:10" x14ac:dyDescent="0.3">
      <c r="A231">
        <v>229</v>
      </c>
      <c r="B231" t="s">
        <v>64</v>
      </c>
      <c r="C231">
        <v>50096</v>
      </c>
      <c r="D231" t="s">
        <v>36</v>
      </c>
      <c r="E231" s="3">
        <v>424.54277548306749</v>
      </c>
      <c r="F231" s="3">
        <v>3.3604445555204232</v>
      </c>
      <c r="G231" s="3">
        <v>304.71730382086378</v>
      </c>
      <c r="H231">
        <v>10</v>
      </c>
      <c r="I231" t="s">
        <v>23</v>
      </c>
      <c r="J231" t="s">
        <v>68</v>
      </c>
    </row>
    <row r="232" spans="1:10" x14ac:dyDescent="0.3">
      <c r="A232">
        <v>230</v>
      </c>
      <c r="B232" t="s">
        <v>65</v>
      </c>
      <c r="C232">
        <v>1015</v>
      </c>
      <c r="D232" t="s">
        <v>42</v>
      </c>
      <c r="E232" s="3">
        <v>575.71609999999998</v>
      </c>
      <c r="F232" s="3">
        <v>-53.890099999999997</v>
      </c>
      <c r="G232" s="3">
        <v>347.23259999999999</v>
      </c>
      <c r="H232">
        <v>11</v>
      </c>
      <c r="I232" t="s">
        <v>17</v>
      </c>
    </row>
    <row r="233" spans="1:10" x14ac:dyDescent="0.3">
      <c r="A233">
        <v>231</v>
      </c>
      <c r="B233" t="s">
        <v>65</v>
      </c>
      <c r="C233">
        <v>1008</v>
      </c>
      <c r="D233" t="s">
        <v>43</v>
      </c>
      <c r="E233" s="3">
        <v>1296.7366999999999</v>
      </c>
      <c r="F233" s="3">
        <v>-46.9373</v>
      </c>
      <c r="G233" s="3">
        <v>-489.51949999999999</v>
      </c>
      <c r="H233">
        <v>11</v>
      </c>
      <c r="I233" t="s">
        <v>17</v>
      </c>
    </row>
    <row r="234" spans="1:10" x14ac:dyDescent="0.3">
      <c r="A234">
        <v>232</v>
      </c>
      <c r="B234" t="s">
        <v>65</v>
      </c>
      <c r="C234">
        <v>1019</v>
      </c>
      <c r="D234" t="s">
        <v>44</v>
      </c>
      <c r="E234" s="3">
        <v>604.59939999999995</v>
      </c>
      <c r="F234" s="3">
        <v>-44.335999999999999</v>
      </c>
      <c r="G234" s="3">
        <v>-1115.0851</v>
      </c>
      <c r="H234">
        <v>11</v>
      </c>
      <c r="I234" t="s">
        <v>17</v>
      </c>
    </row>
    <row r="235" spans="1:10" x14ac:dyDescent="0.3">
      <c r="A235">
        <v>233</v>
      </c>
      <c r="B235" t="s">
        <v>65</v>
      </c>
      <c r="C235">
        <v>1001</v>
      </c>
      <c r="D235" t="s">
        <v>45</v>
      </c>
      <c r="E235" s="3">
        <v>-115.5879</v>
      </c>
      <c r="F235" s="3">
        <v>-51.051200000000001</v>
      </c>
      <c r="G235" s="3">
        <v>-283.19080000000002</v>
      </c>
      <c r="H235">
        <v>11</v>
      </c>
      <c r="I235" t="s">
        <v>17</v>
      </c>
    </row>
    <row r="236" spans="1:10" x14ac:dyDescent="0.3">
      <c r="A236">
        <v>234</v>
      </c>
      <c r="B236" t="s">
        <v>65</v>
      </c>
      <c r="C236">
        <v>50501</v>
      </c>
      <c r="D236" t="s">
        <v>67</v>
      </c>
      <c r="E236" s="3">
        <v>3.3326785707954672E-2</v>
      </c>
      <c r="F236" s="3">
        <v>-0.10101010158221579</v>
      </c>
      <c r="G236" s="3">
        <v>-0.22126816328386109</v>
      </c>
      <c r="H236">
        <v>11</v>
      </c>
      <c r="I236" t="s">
        <v>11</v>
      </c>
      <c r="J236" t="s">
        <v>68</v>
      </c>
    </row>
    <row r="237" spans="1:10" x14ac:dyDescent="0.3">
      <c r="A237">
        <v>235</v>
      </c>
      <c r="B237" t="s">
        <v>65</v>
      </c>
      <c r="C237">
        <v>50502</v>
      </c>
      <c r="D237" t="s">
        <v>69</v>
      </c>
      <c r="E237" s="3">
        <v>172.16376989499591</v>
      </c>
      <c r="F237" s="3">
        <v>0.28348271971305189</v>
      </c>
      <c r="G237" s="3">
        <v>-175.5025050835273</v>
      </c>
      <c r="H237">
        <v>11</v>
      </c>
      <c r="I237" t="s">
        <v>11</v>
      </c>
      <c r="J237" t="s">
        <v>68</v>
      </c>
    </row>
    <row r="238" spans="1:10" x14ac:dyDescent="0.3">
      <c r="A238">
        <v>236</v>
      </c>
      <c r="B238" t="s">
        <v>65</v>
      </c>
      <c r="C238">
        <v>50503</v>
      </c>
      <c r="D238" t="s">
        <v>70</v>
      </c>
      <c r="E238" s="3">
        <v>170.74124247720999</v>
      </c>
      <c r="F238" s="3">
        <v>-0.67152269296853107</v>
      </c>
      <c r="G238" s="3">
        <v>-1.201441783651283</v>
      </c>
      <c r="H238">
        <v>11</v>
      </c>
      <c r="I238" t="s">
        <v>11</v>
      </c>
      <c r="J238" t="s">
        <v>68</v>
      </c>
    </row>
    <row r="239" spans="1:10" x14ac:dyDescent="0.3">
      <c r="A239">
        <v>237</v>
      </c>
      <c r="B239" t="s">
        <v>65</v>
      </c>
      <c r="C239">
        <v>50504</v>
      </c>
      <c r="D239" t="s">
        <v>71</v>
      </c>
      <c r="E239" s="3">
        <v>346.49587669157239</v>
      </c>
      <c r="F239" s="3">
        <v>-0.16464239680621059</v>
      </c>
      <c r="G239" s="3">
        <v>-0.2115672708811572</v>
      </c>
      <c r="H239">
        <v>11</v>
      </c>
      <c r="I239" t="s">
        <v>11</v>
      </c>
      <c r="J239" t="s">
        <v>68</v>
      </c>
    </row>
    <row r="240" spans="1:10" x14ac:dyDescent="0.3">
      <c r="A240">
        <v>238</v>
      </c>
      <c r="B240" t="s">
        <v>65</v>
      </c>
      <c r="C240">
        <v>50505</v>
      </c>
      <c r="D240" t="s">
        <v>72</v>
      </c>
      <c r="E240" s="3">
        <v>169.9194125744738</v>
      </c>
      <c r="F240" s="3">
        <v>-0.44279762900092767</v>
      </c>
      <c r="G240" s="3">
        <v>174.9174801449594</v>
      </c>
      <c r="H240">
        <v>11</v>
      </c>
      <c r="I240" t="s">
        <v>11</v>
      </c>
      <c r="J240" t="s">
        <v>68</v>
      </c>
    </row>
    <row r="241" spans="1:10" x14ac:dyDescent="0.3">
      <c r="A241">
        <v>239</v>
      </c>
      <c r="B241" t="s">
        <v>65</v>
      </c>
      <c r="C241">
        <v>50116</v>
      </c>
      <c r="D241" t="s">
        <v>22</v>
      </c>
      <c r="E241" s="3">
        <v>1011.577322406832</v>
      </c>
      <c r="F241" s="3">
        <v>-624.48054964503729</v>
      </c>
      <c r="G241" s="3">
        <v>-1136.4748256838061</v>
      </c>
      <c r="H241">
        <v>11</v>
      </c>
      <c r="I241" t="s">
        <v>23</v>
      </c>
      <c r="J241" t="s">
        <v>68</v>
      </c>
    </row>
    <row r="242" spans="1:10" x14ac:dyDescent="0.3">
      <c r="A242">
        <v>240</v>
      </c>
      <c r="B242" t="s">
        <v>65</v>
      </c>
      <c r="C242">
        <v>50121</v>
      </c>
      <c r="D242" t="s">
        <v>24</v>
      </c>
      <c r="E242" s="3">
        <v>635.34704061599484</v>
      </c>
      <c r="F242" s="3">
        <v>-100.2351089230568</v>
      </c>
      <c r="G242" s="3">
        <v>95.853881120228138</v>
      </c>
      <c r="H242">
        <v>11</v>
      </c>
      <c r="I242" t="s">
        <v>23</v>
      </c>
      <c r="J242" t="s">
        <v>68</v>
      </c>
    </row>
    <row r="243" spans="1:10" x14ac:dyDescent="0.3">
      <c r="A243">
        <v>241</v>
      </c>
      <c r="B243" t="s">
        <v>65</v>
      </c>
      <c r="C243">
        <v>50013</v>
      </c>
      <c r="D243" t="s">
        <v>25</v>
      </c>
      <c r="E243" s="3">
        <v>279.86949603431799</v>
      </c>
      <c r="F243" s="3">
        <v>2.723631288139269</v>
      </c>
      <c r="G243" s="3">
        <v>200.63289054370591</v>
      </c>
      <c r="H243">
        <v>11</v>
      </c>
      <c r="I243" t="s">
        <v>23</v>
      </c>
      <c r="J243" t="s">
        <v>68</v>
      </c>
    </row>
    <row r="244" spans="1:10" x14ac:dyDescent="0.3">
      <c r="A244">
        <v>242</v>
      </c>
      <c r="B244" t="s">
        <v>65</v>
      </c>
      <c r="C244">
        <v>50034</v>
      </c>
      <c r="D244" t="s">
        <v>26</v>
      </c>
      <c r="E244" s="3">
        <v>757.66317303113215</v>
      </c>
      <c r="F244" s="3">
        <v>-94.639190942248263</v>
      </c>
      <c r="G244" s="3">
        <v>-666.02381425643421</v>
      </c>
      <c r="H244">
        <v>11</v>
      </c>
      <c r="I244" t="s">
        <v>23</v>
      </c>
      <c r="J244" t="s">
        <v>68</v>
      </c>
    </row>
    <row r="245" spans="1:10" x14ac:dyDescent="0.3">
      <c r="A245">
        <v>243</v>
      </c>
      <c r="B245" t="s">
        <v>65</v>
      </c>
      <c r="C245">
        <v>50037</v>
      </c>
      <c r="D245" t="s">
        <v>27</v>
      </c>
      <c r="E245" s="3">
        <v>33.259645207167928</v>
      </c>
      <c r="F245" s="3">
        <v>-98.5751155149228</v>
      </c>
      <c r="G245" s="3">
        <v>-391.02234124561039</v>
      </c>
      <c r="H245">
        <v>11</v>
      </c>
      <c r="I245" t="s">
        <v>23</v>
      </c>
      <c r="J245" t="s">
        <v>68</v>
      </c>
    </row>
    <row r="246" spans="1:10" x14ac:dyDescent="0.3">
      <c r="A246">
        <v>245</v>
      </c>
      <c r="B246" t="s">
        <v>65</v>
      </c>
      <c r="C246">
        <v>50004</v>
      </c>
      <c r="D246" t="s">
        <v>29</v>
      </c>
      <c r="E246" s="3">
        <v>1045.3668637016669</v>
      </c>
      <c r="F246" s="3">
        <v>-512.28766618662291</v>
      </c>
      <c r="G246" s="3">
        <v>-1106.1564351470161</v>
      </c>
      <c r="H246">
        <v>11</v>
      </c>
      <c r="I246" t="s">
        <v>23</v>
      </c>
      <c r="J246" t="s">
        <v>68</v>
      </c>
    </row>
    <row r="247" spans="1:10" x14ac:dyDescent="0.3">
      <c r="A247">
        <v>244</v>
      </c>
      <c r="B247" t="s">
        <v>65</v>
      </c>
      <c r="C247">
        <v>50042</v>
      </c>
      <c r="D247" t="s">
        <v>28</v>
      </c>
      <c r="E247" s="3">
        <v>1083.140838977024</v>
      </c>
      <c r="F247" s="3">
        <v>-97.114051843139578</v>
      </c>
      <c r="G247" s="3">
        <v>-356.83202416259081</v>
      </c>
      <c r="H247">
        <v>11</v>
      </c>
      <c r="I247" t="s">
        <v>23</v>
      </c>
      <c r="J247" t="s">
        <v>68</v>
      </c>
    </row>
    <row r="248" spans="1:10" x14ac:dyDescent="0.3">
      <c r="A248">
        <v>246</v>
      </c>
      <c r="B248" t="s">
        <v>65</v>
      </c>
      <c r="C248">
        <v>50506</v>
      </c>
      <c r="D248" t="s">
        <v>30</v>
      </c>
      <c r="E248" s="3">
        <v>1148.4455321066359</v>
      </c>
      <c r="F248" s="3">
        <v>-23.67816179692381</v>
      </c>
      <c r="G248" s="3">
        <v>-460.81019935939509</v>
      </c>
      <c r="H248">
        <v>11</v>
      </c>
      <c r="I248" t="s">
        <v>23</v>
      </c>
      <c r="J248" t="s">
        <v>68</v>
      </c>
    </row>
    <row r="249" spans="1:10" x14ac:dyDescent="0.3">
      <c r="A249">
        <v>247</v>
      </c>
      <c r="B249" t="s">
        <v>65</v>
      </c>
      <c r="C249">
        <v>50507</v>
      </c>
      <c r="D249" t="s">
        <v>31</v>
      </c>
      <c r="E249" s="3">
        <v>676.40150652522152</v>
      </c>
      <c r="F249" s="3">
        <v>-27.010145211813889</v>
      </c>
      <c r="G249" s="3">
        <v>-1093.9843168838761</v>
      </c>
      <c r="H249">
        <v>11</v>
      </c>
      <c r="I249" t="s">
        <v>23</v>
      </c>
      <c r="J249" t="s">
        <v>68</v>
      </c>
    </row>
    <row r="250" spans="1:10" x14ac:dyDescent="0.3">
      <c r="A250">
        <v>248</v>
      </c>
      <c r="B250" t="s">
        <v>65</v>
      </c>
      <c r="C250">
        <v>50509</v>
      </c>
      <c r="D250" t="s">
        <v>32</v>
      </c>
      <c r="E250" s="3">
        <v>487.96197844915741</v>
      </c>
      <c r="F250" s="3">
        <v>-402.26006125112741</v>
      </c>
      <c r="G250" s="3">
        <v>438.93187304438811</v>
      </c>
      <c r="H250">
        <v>11</v>
      </c>
      <c r="I250" t="s">
        <v>23</v>
      </c>
      <c r="J250" t="s">
        <v>68</v>
      </c>
    </row>
    <row r="251" spans="1:10" x14ac:dyDescent="0.3">
      <c r="A251">
        <v>249</v>
      </c>
      <c r="B251" t="s">
        <v>65</v>
      </c>
      <c r="C251">
        <v>50057</v>
      </c>
      <c r="D251" t="s">
        <v>33</v>
      </c>
      <c r="E251" s="3">
        <v>381.59856188398868</v>
      </c>
      <c r="F251" s="3">
        <v>-99.398812305862265</v>
      </c>
      <c r="G251" s="3">
        <v>-132.4008608066388</v>
      </c>
      <c r="H251">
        <v>11</v>
      </c>
      <c r="I251" t="s">
        <v>23</v>
      </c>
      <c r="J251" t="s">
        <v>68</v>
      </c>
    </row>
    <row r="252" spans="1:10" x14ac:dyDescent="0.3">
      <c r="A252">
        <v>250</v>
      </c>
      <c r="B252" t="s">
        <v>65</v>
      </c>
      <c r="C252">
        <v>50087</v>
      </c>
      <c r="D252" t="s">
        <v>34</v>
      </c>
      <c r="E252" s="3">
        <v>1198.1756114527209</v>
      </c>
      <c r="F252" s="3">
        <v>-631.03824945621466</v>
      </c>
      <c r="G252" s="3">
        <v>-976.4356555843475</v>
      </c>
      <c r="H252">
        <v>11</v>
      </c>
      <c r="I252" t="s">
        <v>23</v>
      </c>
      <c r="J252" t="s">
        <v>68</v>
      </c>
    </row>
    <row r="253" spans="1:10" x14ac:dyDescent="0.3">
      <c r="A253">
        <v>251</v>
      </c>
      <c r="B253" t="s">
        <v>65</v>
      </c>
      <c r="C253">
        <v>50092</v>
      </c>
      <c r="D253" t="s">
        <v>35</v>
      </c>
      <c r="E253" s="3">
        <v>532.43648180678781</v>
      </c>
      <c r="F253" s="3">
        <v>-94.160784657711332</v>
      </c>
      <c r="G253" s="3">
        <v>-862.52737534829009</v>
      </c>
      <c r="H253">
        <v>11</v>
      </c>
      <c r="I253" t="s">
        <v>23</v>
      </c>
      <c r="J253" t="s">
        <v>68</v>
      </c>
    </row>
    <row r="254" spans="1:10" x14ac:dyDescent="0.3">
      <c r="A254">
        <v>252</v>
      </c>
      <c r="B254" t="s">
        <v>65</v>
      </c>
      <c r="C254">
        <v>50096</v>
      </c>
      <c r="D254" t="s">
        <v>36</v>
      </c>
      <c r="E254" s="3">
        <v>424.72767772106317</v>
      </c>
      <c r="F254" s="3">
        <v>2.5408262586787762</v>
      </c>
      <c r="G254" s="3">
        <v>303.87471594432128</v>
      </c>
      <c r="H254">
        <v>11</v>
      </c>
      <c r="I254" t="s">
        <v>23</v>
      </c>
      <c r="J254" t="s">
        <v>68</v>
      </c>
    </row>
    <row r="255" spans="1:10" x14ac:dyDescent="0.3">
      <c r="A255">
        <v>253</v>
      </c>
      <c r="B255" t="s">
        <v>66</v>
      </c>
      <c r="C255">
        <v>1013</v>
      </c>
      <c r="D255" t="s">
        <v>42</v>
      </c>
      <c r="E255" s="3">
        <v>575.44849999999997</v>
      </c>
      <c r="F255" s="3">
        <v>-53.409300000000002</v>
      </c>
      <c r="G255" s="3">
        <v>347.38310000000001</v>
      </c>
      <c r="H255">
        <v>12</v>
      </c>
      <c r="I255" t="s">
        <v>17</v>
      </c>
    </row>
    <row r="256" spans="1:10" x14ac:dyDescent="0.3">
      <c r="A256">
        <v>254</v>
      </c>
      <c r="B256" t="s">
        <v>66</v>
      </c>
      <c r="C256">
        <v>1014</v>
      </c>
      <c r="D256" t="s">
        <v>43</v>
      </c>
      <c r="E256" s="3">
        <v>1296.7180000000001</v>
      </c>
      <c r="F256" s="3">
        <v>-47.238</v>
      </c>
      <c r="G256" s="3">
        <v>-489.10419999999999</v>
      </c>
      <c r="H256">
        <v>12</v>
      </c>
      <c r="I256" t="s">
        <v>17</v>
      </c>
    </row>
    <row r="257" spans="1:10" x14ac:dyDescent="0.3">
      <c r="A257">
        <v>255</v>
      </c>
      <c r="B257" t="s">
        <v>66</v>
      </c>
      <c r="C257">
        <v>1020</v>
      </c>
      <c r="D257" t="s">
        <v>44</v>
      </c>
      <c r="E257" s="3">
        <v>604.82280000000003</v>
      </c>
      <c r="F257" s="3">
        <v>-44.2699</v>
      </c>
      <c r="G257" s="3">
        <v>-1114.9051999999999</v>
      </c>
      <c r="H257">
        <v>12</v>
      </c>
      <c r="I257" t="s">
        <v>17</v>
      </c>
    </row>
    <row r="258" spans="1:10" x14ac:dyDescent="0.3">
      <c r="A258">
        <v>256</v>
      </c>
      <c r="B258" t="s">
        <v>66</v>
      </c>
      <c r="C258">
        <v>1001</v>
      </c>
      <c r="D258" t="s">
        <v>45</v>
      </c>
      <c r="E258" s="3">
        <v>-115.65600000000001</v>
      </c>
      <c r="F258" s="3">
        <v>-50.258600000000001</v>
      </c>
      <c r="G258" s="3">
        <v>-283.23450000000003</v>
      </c>
      <c r="H258">
        <v>12</v>
      </c>
      <c r="I258" t="s">
        <v>17</v>
      </c>
    </row>
    <row r="259" spans="1:10" x14ac:dyDescent="0.3">
      <c r="A259">
        <v>257</v>
      </c>
      <c r="B259" t="s">
        <v>66</v>
      </c>
      <c r="C259">
        <v>50501</v>
      </c>
      <c r="D259" t="s">
        <v>67</v>
      </c>
      <c r="E259" s="3">
        <v>-8.9306221120997009E-2</v>
      </c>
      <c r="F259" s="3">
        <v>0.69601524446945151</v>
      </c>
      <c r="G259" s="3">
        <v>-0.25239353939715442</v>
      </c>
      <c r="H259">
        <v>12</v>
      </c>
      <c r="I259" t="s">
        <v>11</v>
      </c>
      <c r="J259" t="s">
        <v>68</v>
      </c>
    </row>
    <row r="260" spans="1:10" x14ac:dyDescent="0.3">
      <c r="A260">
        <v>258</v>
      </c>
      <c r="B260" t="s">
        <v>66</v>
      </c>
      <c r="C260">
        <v>50502</v>
      </c>
      <c r="D260" t="s">
        <v>69</v>
      </c>
      <c r="E260" s="3">
        <v>172.09876291884899</v>
      </c>
      <c r="F260" s="3">
        <v>0.90686732995239228</v>
      </c>
      <c r="G260" s="3">
        <v>-175.47731666184279</v>
      </c>
      <c r="H260">
        <v>12</v>
      </c>
      <c r="I260" t="s">
        <v>11</v>
      </c>
      <c r="J260" t="s">
        <v>68</v>
      </c>
    </row>
    <row r="261" spans="1:10" x14ac:dyDescent="0.3">
      <c r="A261">
        <v>259</v>
      </c>
      <c r="B261" t="s">
        <v>66</v>
      </c>
      <c r="C261">
        <v>50503</v>
      </c>
      <c r="D261" t="s">
        <v>70</v>
      </c>
      <c r="E261" s="3">
        <v>170.61845592875821</v>
      </c>
      <c r="F261" s="3">
        <v>-1.9850382180031101E-4</v>
      </c>
      <c r="G261" s="3">
        <v>-1.176478425624558</v>
      </c>
      <c r="H261">
        <v>12</v>
      </c>
      <c r="I261" t="s">
        <v>11</v>
      </c>
      <c r="J261" t="s">
        <v>68</v>
      </c>
    </row>
    <row r="262" spans="1:10" x14ac:dyDescent="0.3">
      <c r="A262">
        <v>260</v>
      </c>
      <c r="B262" t="s">
        <v>66</v>
      </c>
      <c r="C262">
        <v>50504</v>
      </c>
      <c r="D262" t="s">
        <v>71</v>
      </c>
      <c r="E262" s="3">
        <v>346.3730816106721</v>
      </c>
      <c r="F262" s="3">
        <v>0.37780195620873308</v>
      </c>
      <c r="G262" s="3">
        <v>-0.12915131694608731</v>
      </c>
      <c r="H262">
        <v>12</v>
      </c>
      <c r="I262" t="s">
        <v>11</v>
      </c>
      <c r="J262" t="s">
        <v>68</v>
      </c>
    </row>
    <row r="263" spans="1:10" x14ac:dyDescent="0.3">
      <c r="A263">
        <v>261</v>
      </c>
      <c r="B263" t="s">
        <v>66</v>
      </c>
      <c r="C263">
        <v>50505</v>
      </c>
      <c r="D263" t="s">
        <v>72</v>
      </c>
      <c r="E263" s="3">
        <v>169.73912088634791</v>
      </c>
      <c r="F263" s="3">
        <v>0.27651345614210288</v>
      </c>
      <c r="G263" s="3">
        <v>174.94209691841581</v>
      </c>
      <c r="H263">
        <v>12</v>
      </c>
      <c r="I263" t="s">
        <v>11</v>
      </c>
      <c r="J263" t="s">
        <v>68</v>
      </c>
    </row>
    <row r="264" spans="1:10" x14ac:dyDescent="0.3">
      <c r="A264">
        <v>262</v>
      </c>
      <c r="B264" t="s">
        <v>66</v>
      </c>
      <c r="C264">
        <v>50116</v>
      </c>
      <c r="D264" t="s">
        <v>22</v>
      </c>
      <c r="E264" s="3">
        <v>1011.367595488318</v>
      </c>
      <c r="F264" s="3">
        <v>-624.73232218989017</v>
      </c>
      <c r="G264" s="3">
        <v>-1136.0065668419329</v>
      </c>
      <c r="H264">
        <v>12</v>
      </c>
      <c r="I264" t="s">
        <v>23</v>
      </c>
      <c r="J264" t="s">
        <v>68</v>
      </c>
    </row>
    <row r="265" spans="1:10" x14ac:dyDescent="0.3">
      <c r="A265">
        <v>263</v>
      </c>
      <c r="B265" t="s">
        <v>66</v>
      </c>
      <c r="C265">
        <v>50121</v>
      </c>
      <c r="D265" t="s">
        <v>24</v>
      </c>
      <c r="E265" s="3">
        <v>635.11915214323346</v>
      </c>
      <c r="F265" s="3">
        <v>-99.879038747117733</v>
      </c>
      <c r="G265" s="3">
        <v>96.0578342375087</v>
      </c>
      <c r="H265">
        <v>12</v>
      </c>
      <c r="I265" t="s">
        <v>23</v>
      </c>
      <c r="J265" t="s">
        <v>68</v>
      </c>
    </row>
    <row r="266" spans="1:10" x14ac:dyDescent="0.3">
      <c r="A266">
        <v>264</v>
      </c>
      <c r="B266" t="s">
        <v>66</v>
      </c>
      <c r="C266">
        <v>50013</v>
      </c>
      <c r="D266" t="s">
        <v>25</v>
      </c>
      <c r="E266" s="3">
        <v>279.68307475727403</v>
      </c>
      <c r="F266" s="3">
        <v>3.3690676296459992</v>
      </c>
      <c r="G266" s="3">
        <v>200.6926808496903</v>
      </c>
      <c r="H266">
        <v>12</v>
      </c>
      <c r="I266" t="s">
        <v>23</v>
      </c>
      <c r="J266" t="s">
        <v>68</v>
      </c>
    </row>
    <row r="267" spans="1:10" x14ac:dyDescent="0.3">
      <c r="A267">
        <v>265</v>
      </c>
      <c r="B267" t="s">
        <v>66</v>
      </c>
      <c r="C267">
        <v>50034</v>
      </c>
      <c r="D267" t="s">
        <v>26</v>
      </c>
      <c r="E267" s="3">
        <v>757.68884875144317</v>
      </c>
      <c r="F267" s="3">
        <v>-94.577977176011217</v>
      </c>
      <c r="G267" s="3">
        <v>-665.78121797699362</v>
      </c>
      <c r="H267">
        <v>12</v>
      </c>
      <c r="I267" t="s">
        <v>23</v>
      </c>
      <c r="J267" t="s">
        <v>68</v>
      </c>
    </row>
    <row r="268" spans="1:10" x14ac:dyDescent="0.3">
      <c r="A268">
        <v>266</v>
      </c>
      <c r="B268" t="s">
        <v>66</v>
      </c>
      <c r="C268">
        <v>50037</v>
      </c>
      <c r="D268" t="s">
        <v>27</v>
      </c>
      <c r="E268" s="3">
        <v>33.192608417099187</v>
      </c>
      <c r="F268" s="3">
        <v>-97.907616218157486</v>
      </c>
      <c r="G268" s="3">
        <v>-391.01607457372359</v>
      </c>
      <c r="H268">
        <v>12</v>
      </c>
      <c r="I268" t="s">
        <v>23</v>
      </c>
      <c r="J268" t="s">
        <v>68</v>
      </c>
    </row>
    <row r="269" spans="1:10" x14ac:dyDescent="0.3">
      <c r="A269">
        <v>268</v>
      </c>
      <c r="B269" t="s">
        <v>66</v>
      </c>
      <c r="C269">
        <v>50004</v>
      </c>
      <c r="D269" t="s">
        <v>29</v>
      </c>
      <c r="E269" s="3">
        <v>1045.229647678739</v>
      </c>
      <c r="F269" s="3">
        <v>-512.55614505524045</v>
      </c>
      <c r="G269" s="3">
        <v>-1105.707264716654</v>
      </c>
      <c r="H269">
        <v>12</v>
      </c>
      <c r="I269" t="s">
        <v>23</v>
      </c>
      <c r="J269" t="s">
        <v>68</v>
      </c>
    </row>
    <row r="270" spans="1:10" x14ac:dyDescent="0.3">
      <c r="A270">
        <v>267</v>
      </c>
      <c r="B270" t="s">
        <v>66</v>
      </c>
      <c r="C270">
        <v>50042</v>
      </c>
      <c r="D270" t="s">
        <v>28</v>
      </c>
      <c r="E270" s="3">
        <v>1083.0633398484069</v>
      </c>
      <c r="F270" s="3">
        <v>-97.208816034896643</v>
      </c>
      <c r="G270" s="3">
        <v>-356.48214223024962</v>
      </c>
      <c r="H270">
        <v>12</v>
      </c>
      <c r="I270" t="s">
        <v>23</v>
      </c>
      <c r="J270" t="s">
        <v>68</v>
      </c>
    </row>
    <row r="271" spans="1:10" x14ac:dyDescent="0.3">
      <c r="A271">
        <v>269</v>
      </c>
      <c r="B271" t="s">
        <v>66</v>
      </c>
      <c r="C271">
        <v>50506</v>
      </c>
      <c r="D271" t="s">
        <v>30</v>
      </c>
      <c r="E271" s="3">
        <v>1148.456029259713</v>
      </c>
      <c r="F271" s="3">
        <v>-23.848909228904361</v>
      </c>
      <c r="G271" s="3">
        <v>-460.45864945117239</v>
      </c>
      <c r="H271">
        <v>12</v>
      </c>
      <c r="I271" t="s">
        <v>23</v>
      </c>
      <c r="J271" t="s">
        <v>68</v>
      </c>
    </row>
    <row r="272" spans="1:10" x14ac:dyDescent="0.3">
      <c r="A272">
        <v>270</v>
      </c>
      <c r="B272" t="s">
        <v>66</v>
      </c>
      <c r="C272">
        <v>50507</v>
      </c>
      <c r="D272" t="s">
        <v>31</v>
      </c>
      <c r="E272" s="3">
        <v>676.61705271699668</v>
      </c>
      <c r="F272" s="3">
        <v>-27.004378988564881</v>
      </c>
      <c r="G272" s="3">
        <v>-1093.7864875644259</v>
      </c>
      <c r="H272">
        <v>12</v>
      </c>
      <c r="I272" t="s">
        <v>23</v>
      </c>
      <c r="J272" t="s">
        <v>68</v>
      </c>
    </row>
    <row r="273" spans="1:10" x14ac:dyDescent="0.3">
      <c r="A273">
        <v>271</v>
      </c>
      <c r="B273" t="s">
        <v>66</v>
      </c>
      <c r="C273">
        <v>50509</v>
      </c>
      <c r="D273" t="s">
        <v>32</v>
      </c>
      <c r="E273" s="3">
        <v>487.39983315253448</v>
      </c>
      <c r="F273" s="3">
        <v>-401.70329702356219</v>
      </c>
      <c r="G273" s="3">
        <v>439.16868634540748</v>
      </c>
      <c r="H273">
        <v>12</v>
      </c>
      <c r="I273" t="s">
        <v>23</v>
      </c>
      <c r="J273" t="s">
        <v>68</v>
      </c>
    </row>
    <row r="274" spans="1:10" x14ac:dyDescent="0.3">
      <c r="A274">
        <v>272</v>
      </c>
      <c r="B274" t="s">
        <v>66</v>
      </c>
      <c r="C274">
        <v>50057</v>
      </c>
      <c r="D274" t="s">
        <v>33</v>
      </c>
      <c r="E274" s="3">
        <v>381.44611649163699</v>
      </c>
      <c r="F274" s="3">
        <v>-98.917695562351881</v>
      </c>
      <c r="G274" s="3">
        <v>-132.28025690263601</v>
      </c>
      <c r="H274">
        <v>12</v>
      </c>
      <c r="I274" t="s">
        <v>23</v>
      </c>
      <c r="J274" t="s">
        <v>68</v>
      </c>
    </row>
    <row r="275" spans="1:10" x14ac:dyDescent="0.3">
      <c r="A275">
        <v>273</v>
      </c>
      <c r="B275" t="s">
        <v>66</v>
      </c>
      <c r="C275">
        <v>50087</v>
      </c>
      <c r="D275" t="s">
        <v>34</v>
      </c>
      <c r="E275" s="3">
        <v>1197.908597035701</v>
      </c>
      <c r="F275" s="3">
        <v>-631.38407702196594</v>
      </c>
      <c r="G275" s="3">
        <v>-975.90450637067272</v>
      </c>
      <c r="H275">
        <v>12</v>
      </c>
      <c r="I275" t="s">
        <v>23</v>
      </c>
      <c r="J275" t="s">
        <v>68</v>
      </c>
    </row>
    <row r="276" spans="1:10" x14ac:dyDescent="0.3">
      <c r="A276">
        <v>274</v>
      </c>
      <c r="B276" t="s">
        <v>66</v>
      </c>
      <c r="C276">
        <v>50092</v>
      </c>
      <c r="D276" t="s">
        <v>35</v>
      </c>
      <c r="E276" s="3">
        <v>532.52693083509996</v>
      </c>
      <c r="F276" s="3">
        <v>-93.986939920317525</v>
      </c>
      <c r="G276" s="3">
        <v>-862.35868929407093</v>
      </c>
      <c r="H276">
        <v>12</v>
      </c>
      <c r="I276" t="s">
        <v>23</v>
      </c>
      <c r="J276" t="s">
        <v>68</v>
      </c>
    </row>
    <row r="277" spans="1:10" x14ac:dyDescent="0.3">
      <c r="A277">
        <v>275</v>
      </c>
      <c r="B277" t="s">
        <v>66</v>
      </c>
      <c r="C277">
        <v>50096</v>
      </c>
      <c r="D277" t="s">
        <v>36</v>
      </c>
      <c r="E277" s="3">
        <v>424.50726671539508</v>
      </c>
      <c r="F277" s="3">
        <v>3.1075958410032469</v>
      </c>
      <c r="G277" s="3">
        <v>303.98201131272037</v>
      </c>
      <c r="H277">
        <v>12</v>
      </c>
      <c r="I277" t="s">
        <v>23</v>
      </c>
      <c r="J277" t="s">
        <v>68</v>
      </c>
    </row>
  </sheetData>
  <autoFilter ref="A1:J277"/>
  <sortState ref="A2:J277">
    <sortCondition ref="B2:B277"/>
    <sortCondition ref="D2:D277"/>
    <sortCondition ref="C2:C277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F730"/>
  <sheetViews>
    <sheetView topLeftCell="A607" workbookViewId="0">
      <selection activeCell="A2" sqref="A2:F717"/>
    </sheetView>
  </sheetViews>
  <sheetFormatPr defaultRowHeight="16.5" x14ac:dyDescent="0.3"/>
  <cols>
    <col min="1" max="1" width="19.75" bestFit="1" customWidth="1"/>
    <col min="2" max="2" width="8.125" bestFit="1" customWidth="1"/>
    <col min="3" max="3" width="11.625" bestFit="1" customWidth="1"/>
    <col min="4" max="6" width="11.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" t="s">
        <v>105</v>
      </c>
      <c r="B2" s="1">
        <v>1003</v>
      </c>
      <c r="C2" s="1" t="s">
        <v>75</v>
      </c>
      <c r="D2" s="2">
        <v>575.96400000000006</v>
      </c>
      <c r="E2" s="2">
        <v>-52.545000000000002</v>
      </c>
      <c r="F2" s="2">
        <v>347.166</v>
      </c>
    </row>
    <row r="3" spans="1:6" x14ac:dyDescent="0.3">
      <c r="A3" s="1" t="s">
        <v>105</v>
      </c>
      <c r="B3" s="1">
        <v>1012</v>
      </c>
      <c r="C3" s="1" t="s">
        <v>76</v>
      </c>
      <c r="D3" s="2">
        <v>1296.71</v>
      </c>
      <c r="E3" s="2">
        <v>-47.786999999999999</v>
      </c>
      <c r="F3" s="2">
        <v>-489.62900000000002</v>
      </c>
    </row>
    <row r="4" spans="1:6" x14ac:dyDescent="0.3">
      <c r="A4" s="1" t="s">
        <v>105</v>
      </c>
      <c r="B4" s="1">
        <v>1028</v>
      </c>
      <c r="C4" s="1" t="s">
        <v>77</v>
      </c>
      <c r="D4" s="2">
        <v>604.53200000000004</v>
      </c>
      <c r="E4" s="2">
        <v>-47.247999999999998</v>
      </c>
      <c r="F4" s="2">
        <v>-1115.1500000000001</v>
      </c>
    </row>
    <row r="5" spans="1:6" x14ac:dyDescent="0.3">
      <c r="A5" s="1" t="s">
        <v>105</v>
      </c>
      <c r="B5" s="1">
        <v>1001</v>
      </c>
      <c r="C5" s="1" t="s">
        <v>78</v>
      </c>
      <c r="D5" s="2">
        <v>-115.56699999999999</v>
      </c>
      <c r="E5" s="2">
        <v>-51.792000000000002</v>
      </c>
      <c r="F5" s="2">
        <v>-282.96300000000002</v>
      </c>
    </row>
    <row r="6" spans="1:6" x14ac:dyDescent="0.3">
      <c r="A6" s="1" t="s">
        <v>105</v>
      </c>
      <c r="B6" s="1">
        <v>501</v>
      </c>
      <c r="C6" s="1" t="s">
        <v>94</v>
      </c>
      <c r="D6" s="2">
        <v>0.13700000000000001</v>
      </c>
      <c r="E6" s="2">
        <v>7.2999999999999995E-2</v>
      </c>
      <c r="F6" s="2">
        <v>-0.214</v>
      </c>
    </row>
    <row r="7" spans="1:6" x14ac:dyDescent="0.3">
      <c r="A7" s="1" t="s">
        <v>105</v>
      </c>
      <c r="B7" s="1">
        <v>502</v>
      </c>
      <c r="C7" s="1" t="s">
        <v>85</v>
      </c>
      <c r="D7" s="2">
        <v>172.21799999999999</v>
      </c>
      <c r="E7" s="2">
        <v>-2.5000000000000001E-2</v>
      </c>
      <c r="F7" s="2">
        <v>-175.55600000000001</v>
      </c>
    </row>
    <row r="8" spans="1:6" x14ac:dyDescent="0.3">
      <c r="A8" s="1" t="s">
        <v>105</v>
      </c>
      <c r="B8" s="1">
        <v>503</v>
      </c>
      <c r="C8" s="1" t="s">
        <v>95</v>
      </c>
      <c r="D8" s="2">
        <v>170.846</v>
      </c>
      <c r="E8" s="2">
        <v>-0.46500000000000002</v>
      </c>
      <c r="F8" s="2">
        <v>-1.252</v>
      </c>
    </row>
    <row r="9" spans="1:6" x14ac:dyDescent="0.3">
      <c r="A9" s="1" t="s">
        <v>105</v>
      </c>
      <c r="B9" s="1">
        <v>504</v>
      </c>
      <c r="C9" s="1" t="s">
        <v>87</v>
      </c>
      <c r="D9" s="2">
        <v>346.60300000000001</v>
      </c>
      <c r="E9" s="2">
        <v>0.155</v>
      </c>
      <c r="F9" s="2">
        <v>-0.316</v>
      </c>
    </row>
    <row r="10" spans="1:6" x14ac:dyDescent="0.3">
      <c r="A10" s="1" t="s">
        <v>105</v>
      </c>
      <c r="B10" s="1">
        <v>505</v>
      </c>
      <c r="C10" s="1" t="s">
        <v>96</v>
      </c>
      <c r="D10" s="2">
        <v>170.08600000000001</v>
      </c>
      <c r="E10" s="2">
        <v>0.28199999999999997</v>
      </c>
      <c r="F10" s="2">
        <v>174.864</v>
      </c>
    </row>
    <row r="11" spans="1:6" hidden="1" x14ac:dyDescent="0.3">
      <c r="A11" s="1" t="s">
        <v>105</v>
      </c>
      <c r="B11" s="1">
        <v>1002</v>
      </c>
      <c r="C11" s="1" t="s">
        <v>89</v>
      </c>
      <c r="D11" s="2">
        <v>511.81299999999999</v>
      </c>
      <c r="E11" s="2">
        <v>-409.48099999999999</v>
      </c>
      <c r="F11" s="2">
        <v>412.863</v>
      </c>
    </row>
    <row r="12" spans="1:6" hidden="1" x14ac:dyDescent="0.3">
      <c r="A12" s="1" t="s">
        <v>105</v>
      </c>
      <c r="B12" s="1">
        <v>1005</v>
      </c>
      <c r="C12" s="1" t="s">
        <v>89</v>
      </c>
      <c r="D12" s="2">
        <v>248.91499999999999</v>
      </c>
      <c r="E12" s="2">
        <v>-270.303</v>
      </c>
      <c r="F12" s="2">
        <v>-355.512</v>
      </c>
    </row>
    <row r="13" spans="1:6" hidden="1" x14ac:dyDescent="0.3">
      <c r="A13" s="1" t="s">
        <v>105</v>
      </c>
      <c r="B13" s="1">
        <v>1011</v>
      </c>
      <c r="C13" s="1" t="s">
        <v>89</v>
      </c>
      <c r="D13" s="2">
        <v>1126.2719999999999</v>
      </c>
      <c r="E13" s="2">
        <v>-24.81</v>
      </c>
      <c r="F13" s="2">
        <v>-490.61500000000001</v>
      </c>
    </row>
    <row r="14" spans="1:6" hidden="1" x14ac:dyDescent="0.3">
      <c r="A14" s="1" t="s">
        <v>105</v>
      </c>
      <c r="B14" s="1">
        <v>1015</v>
      </c>
      <c r="C14" s="1" t="s">
        <v>89</v>
      </c>
      <c r="D14" s="2">
        <v>496.33499999999998</v>
      </c>
      <c r="E14" s="2">
        <v>-268.75799999999998</v>
      </c>
      <c r="F14" s="2">
        <v>-642.90599999999995</v>
      </c>
    </row>
    <row r="15" spans="1:6" hidden="1" x14ac:dyDescent="0.3">
      <c r="A15" s="1" t="s">
        <v>105</v>
      </c>
      <c r="B15" s="1">
        <v>1016</v>
      </c>
      <c r="C15" s="1" t="s">
        <v>89</v>
      </c>
      <c r="D15" s="2">
        <v>733.06</v>
      </c>
      <c r="E15" s="2">
        <v>-96.628</v>
      </c>
      <c r="F15" s="2">
        <v>-664.12</v>
      </c>
    </row>
    <row r="16" spans="1:6" hidden="1" x14ac:dyDescent="0.3">
      <c r="A16" s="1" t="s">
        <v>105</v>
      </c>
      <c r="B16" s="1">
        <v>1017</v>
      </c>
      <c r="C16" s="1" t="s">
        <v>89</v>
      </c>
      <c r="D16" s="2">
        <v>449.29500000000002</v>
      </c>
      <c r="E16" s="2">
        <v>3.718</v>
      </c>
      <c r="F16" s="2">
        <v>308.97399999999999</v>
      </c>
    </row>
    <row r="17" spans="1:6" hidden="1" x14ac:dyDescent="0.3">
      <c r="A17" s="1" t="s">
        <v>105</v>
      </c>
      <c r="B17" s="1">
        <v>1018</v>
      </c>
      <c r="C17" s="1" t="s">
        <v>89</v>
      </c>
      <c r="D17" s="2">
        <v>1082.5889999999999</v>
      </c>
      <c r="E17" s="2">
        <v>-97.29</v>
      </c>
      <c r="F17" s="2">
        <v>-381.58</v>
      </c>
    </row>
    <row r="18" spans="1:6" hidden="1" x14ac:dyDescent="0.3">
      <c r="A18" s="1" t="s">
        <v>105</v>
      </c>
      <c r="B18" s="1">
        <v>1019</v>
      </c>
      <c r="C18" s="1" t="s">
        <v>89</v>
      </c>
      <c r="D18" s="2">
        <v>258.27499999999998</v>
      </c>
      <c r="E18" s="2">
        <v>3.4950000000000001</v>
      </c>
      <c r="F18" s="2">
        <v>188.864</v>
      </c>
    </row>
    <row r="19" spans="1:6" hidden="1" x14ac:dyDescent="0.3">
      <c r="A19" s="1" t="s">
        <v>105</v>
      </c>
      <c r="B19" s="1">
        <v>1027</v>
      </c>
      <c r="C19" s="1" t="s">
        <v>89</v>
      </c>
      <c r="D19" s="2">
        <v>590.09900000000005</v>
      </c>
      <c r="E19" s="2">
        <v>-336.524</v>
      </c>
      <c r="F19" s="2">
        <v>-997.98400000000004</v>
      </c>
    </row>
    <row r="20" spans="1:6" hidden="1" x14ac:dyDescent="0.3">
      <c r="A20" s="1" t="s">
        <v>105</v>
      </c>
      <c r="B20" s="1">
        <v>1029</v>
      </c>
      <c r="C20" s="1" t="s">
        <v>89</v>
      </c>
      <c r="D20" s="2">
        <v>698.56100000000004</v>
      </c>
      <c r="E20" s="2">
        <v>-29.459</v>
      </c>
      <c r="F20" s="2">
        <v>-1064.605</v>
      </c>
    </row>
    <row r="21" spans="1:6" hidden="1" x14ac:dyDescent="0.3">
      <c r="A21" s="1" t="s">
        <v>105</v>
      </c>
      <c r="B21" s="1">
        <v>1030</v>
      </c>
      <c r="C21" s="1" t="s">
        <v>89</v>
      </c>
      <c r="D21" s="2">
        <v>-152.82599999999999</v>
      </c>
      <c r="E21" s="2">
        <v>-594.346</v>
      </c>
      <c r="F21" s="2">
        <v>-643.02</v>
      </c>
    </row>
    <row r="22" spans="1:6" hidden="1" x14ac:dyDescent="0.3">
      <c r="A22" s="1" t="s">
        <v>105</v>
      </c>
      <c r="B22" s="1">
        <v>1033</v>
      </c>
      <c r="C22" s="1" t="s">
        <v>89</v>
      </c>
      <c r="D22" s="2">
        <v>1004.9160000000001</v>
      </c>
      <c r="E22" s="2">
        <v>3.9750000000000001</v>
      </c>
      <c r="F22" s="2">
        <v>-839.40599999999995</v>
      </c>
    </row>
    <row r="23" spans="1:6" hidden="1" x14ac:dyDescent="0.3">
      <c r="A23" s="1" t="s">
        <v>105</v>
      </c>
      <c r="B23" s="1">
        <v>1035</v>
      </c>
      <c r="C23" s="1" t="s">
        <v>89</v>
      </c>
      <c r="D23" s="2">
        <v>-122.18600000000001</v>
      </c>
      <c r="E23" s="2">
        <v>-583.89800000000002</v>
      </c>
      <c r="F23" s="2">
        <v>-644.14800000000002</v>
      </c>
    </row>
    <row r="24" spans="1:6" hidden="1" x14ac:dyDescent="0.3">
      <c r="A24" s="1" t="s">
        <v>105</v>
      </c>
      <c r="B24" s="1">
        <v>1038</v>
      </c>
      <c r="C24" s="1" t="s">
        <v>89</v>
      </c>
      <c r="D24" s="2">
        <v>1199.201</v>
      </c>
      <c r="E24" s="2">
        <v>-653.62699999999995</v>
      </c>
      <c r="F24" s="2">
        <v>-974.43399999999997</v>
      </c>
    </row>
    <row r="25" spans="1:6" hidden="1" x14ac:dyDescent="0.3">
      <c r="A25" s="1" t="s">
        <v>105</v>
      </c>
      <c r="B25" s="1">
        <v>1039</v>
      </c>
      <c r="C25" s="1" t="s">
        <v>89</v>
      </c>
      <c r="D25" s="2">
        <v>777.20399999999995</v>
      </c>
      <c r="E25" s="2">
        <v>-800.85799999999995</v>
      </c>
      <c r="F25" s="2">
        <v>65.376999999999995</v>
      </c>
    </row>
    <row r="26" spans="1:6" hidden="1" x14ac:dyDescent="0.3">
      <c r="A26" s="1" t="s">
        <v>105</v>
      </c>
      <c r="B26" s="1">
        <v>1046</v>
      </c>
      <c r="C26" s="1" t="s">
        <v>89</v>
      </c>
      <c r="D26" s="2">
        <v>1370.3209999999999</v>
      </c>
      <c r="E26" s="2">
        <v>-735.69399999999996</v>
      </c>
      <c r="F26" s="2">
        <v>-580.19600000000003</v>
      </c>
    </row>
    <row r="27" spans="1:6" hidden="1" x14ac:dyDescent="0.3">
      <c r="A27" s="1" t="s">
        <v>105</v>
      </c>
      <c r="B27" s="1">
        <v>1047</v>
      </c>
      <c r="C27" s="1" t="s">
        <v>89</v>
      </c>
      <c r="D27" s="2">
        <v>339.15199999999999</v>
      </c>
      <c r="E27" s="2">
        <v>-10.430999999999999</v>
      </c>
      <c r="F27" s="2">
        <v>103.539</v>
      </c>
    </row>
    <row r="28" spans="1:6" hidden="1" x14ac:dyDescent="0.3">
      <c r="A28" s="1" t="s">
        <v>105</v>
      </c>
      <c r="B28" s="1">
        <v>1051</v>
      </c>
      <c r="C28" s="1" t="s">
        <v>89</v>
      </c>
      <c r="D28" s="2">
        <v>1040.8610000000001</v>
      </c>
      <c r="E28" s="2">
        <v>-41.103000000000002</v>
      </c>
      <c r="F28" s="2">
        <v>-809.2</v>
      </c>
    </row>
    <row r="29" spans="1:6" hidden="1" x14ac:dyDescent="0.3">
      <c r="A29" s="1" t="s">
        <v>105</v>
      </c>
      <c r="B29" s="1">
        <v>1052</v>
      </c>
      <c r="C29" s="1" t="s">
        <v>89</v>
      </c>
      <c r="D29" s="2">
        <v>228.05600000000001</v>
      </c>
      <c r="E29" s="2">
        <v>-591.72699999999998</v>
      </c>
      <c r="F29" s="2">
        <v>-1075.787</v>
      </c>
    </row>
    <row r="30" spans="1:6" hidden="1" x14ac:dyDescent="0.3">
      <c r="A30" s="1" t="s">
        <v>105</v>
      </c>
      <c r="B30" s="1">
        <v>1053</v>
      </c>
      <c r="C30" s="1" t="s">
        <v>89</v>
      </c>
      <c r="D30" s="2">
        <v>220.00399999999999</v>
      </c>
      <c r="E30" s="2">
        <v>-606.00699999999995</v>
      </c>
      <c r="F30" s="2">
        <v>-1074.019</v>
      </c>
    </row>
    <row r="31" spans="1:6" hidden="1" x14ac:dyDescent="0.3">
      <c r="A31" s="1" t="s">
        <v>105</v>
      </c>
      <c r="B31" s="1">
        <v>1055</v>
      </c>
      <c r="C31" s="1" t="s">
        <v>89</v>
      </c>
      <c r="D31" s="2">
        <v>127.371</v>
      </c>
      <c r="E31" s="2">
        <v>-288.33600000000001</v>
      </c>
      <c r="F31" s="2">
        <v>-305.98899999999998</v>
      </c>
    </row>
    <row r="32" spans="1:6" hidden="1" x14ac:dyDescent="0.3">
      <c r="A32" s="1" t="s">
        <v>105</v>
      </c>
      <c r="B32" s="1">
        <v>1058</v>
      </c>
      <c r="C32" s="1" t="s">
        <v>89</v>
      </c>
      <c r="D32" s="2">
        <v>1346.825</v>
      </c>
      <c r="E32" s="2">
        <v>-726.83799999999997</v>
      </c>
      <c r="F32" s="2">
        <v>-552.96299999999997</v>
      </c>
    </row>
    <row r="33" spans="1:6" hidden="1" x14ac:dyDescent="0.3">
      <c r="A33" s="1" t="s">
        <v>105</v>
      </c>
      <c r="B33" s="1">
        <v>1060</v>
      </c>
      <c r="C33" s="1" t="s">
        <v>89</v>
      </c>
      <c r="D33" s="2">
        <v>73.381</v>
      </c>
      <c r="E33" s="2">
        <v>-338.93400000000003</v>
      </c>
      <c r="F33" s="2">
        <v>-352.99400000000003</v>
      </c>
    </row>
    <row r="34" spans="1:6" hidden="1" x14ac:dyDescent="0.3">
      <c r="A34" s="1" t="s">
        <v>105</v>
      </c>
      <c r="B34" s="1">
        <v>1062</v>
      </c>
      <c r="C34" s="1" t="s">
        <v>89</v>
      </c>
      <c r="D34" s="2">
        <v>153.762</v>
      </c>
      <c r="E34" s="2">
        <v>-0.53</v>
      </c>
      <c r="F34" s="2">
        <v>-19.02</v>
      </c>
    </row>
    <row r="35" spans="1:6" hidden="1" x14ac:dyDescent="0.3">
      <c r="A35" s="1" t="s">
        <v>105</v>
      </c>
      <c r="B35" s="1">
        <v>1063</v>
      </c>
      <c r="C35" s="1" t="s">
        <v>89</v>
      </c>
      <c r="D35" s="2">
        <v>1041.317</v>
      </c>
      <c r="E35" s="2">
        <v>-30.63</v>
      </c>
      <c r="F35" s="2">
        <v>-835.53599999999994</v>
      </c>
    </row>
    <row r="36" spans="1:6" hidden="1" x14ac:dyDescent="0.3">
      <c r="A36" s="1" t="s">
        <v>105</v>
      </c>
      <c r="B36" s="1">
        <v>1065</v>
      </c>
      <c r="C36" s="1" t="s">
        <v>89</v>
      </c>
      <c r="D36" s="2">
        <v>532.255</v>
      </c>
      <c r="E36" s="2">
        <v>-95.960999999999999</v>
      </c>
      <c r="F36" s="2">
        <v>-887.66600000000005</v>
      </c>
    </row>
    <row r="37" spans="1:6" hidden="1" x14ac:dyDescent="0.3">
      <c r="A37" s="1" t="s">
        <v>105</v>
      </c>
      <c r="B37" s="1">
        <v>1066</v>
      </c>
      <c r="C37" s="1" t="s">
        <v>89</v>
      </c>
      <c r="D37" s="2">
        <v>996.67399999999998</v>
      </c>
      <c r="E37" s="2">
        <v>-642.52499999999998</v>
      </c>
      <c r="F37" s="2">
        <v>-1147.941</v>
      </c>
    </row>
    <row r="38" spans="1:6" hidden="1" x14ac:dyDescent="0.3">
      <c r="A38" s="1" t="s">
        <v>105</v>
      </c>
      <c r="B38" s="1">
        <v>1077</v>
      </c>
      <c r="C38" s="1" t="s">
        <v>89</v>
      </c>
      <c r="D38" s="2">
        <v>987.51099999999997</v>
      </c>
      <c r="E38" s="2">
        <v>-0.41899999999999998</v>
      </c>
      <c r="F38" s="2">
        <v>-804.95600000000002</v>
      </c>
    </row>
    <row r="39" spans="1:6" hidden="1" x14ac:dyDescent="0.3">
      <c r="A39" s="1" t="s">
        <v>105</v>
      </c>
      <c r="B39" s="1">
        <v>1080</v>
      </c>
      <c r="C39" s="1" t="s">
        <v>89</v>
      </c>
      <c r="D39" s="2">
        <v>339.137</v>
      </c>
      <c r="E39" s="2">
        <v>-428.08499999999998</v>
      </c>
      <c r="F39" s="2">
        <v>-1022.121</v>
      </c>
    </row>
    <row r="40" spans="1:6" hidden="1" x14ac:dyDescent="0.3">
      <c r="A40" s="1" t="s">
        <v>105</v>
      </c>
      <c r="B40" s="1">
        <v>1083</v>
      </c>
      <c r="C40" s="1" t="s">
        <v>89</v>
      </c>
      <c r="D40" s="2">
        <v>259.89499999999998</v>
      </c>
      <c r="E40" s="2">
        <v>-1360.9359999999999</v>
      </c>
      <c r="F40" s="2">
        <v>-333.04700000000003</v>
      </c>
    </row>
    <row r="41" spans="1:6" hidden="1" x14ac:dyDescent="0.3">
      <c r="A41" s="1" t="s">
        <v>105</v>
      </c>
      <c r="B41" s="1">
        <v>1085</v>
      </c>
      <c r="C41" s="1" t="s">
        <v>89</v>
      </c>
      <c r="D41" s="2">
        <v>749.25</v>
      </c>
      <c r="E41" s="2">
        <v>-96.644999999999996</v>
      </c>
      <c r="F41" s="2">
        <v>-647.85199999999998</v>
      </c>
    </row>
    <row r="42" spans="1:6" hidden="1" x14ac:dyDescent="0.3">
      <c r="A42" s="1" t="s">
        <v>105</v>
      </c>
      <c r="B42" s="1">
        <v>1099</v>
      </c>
      <c r="C42" s="1" t="s">
        <v>89</v>
      </c>
      <c r="D42" s="2">
        <v>1384.3209999999999</v>
      </c>
      <c r="E42" s="2">
        <v>-507.88900000000001</v>
      </c>
      <c r="F42" s="2">
        <v>-795.71299999999997</v>
      </c>
    </row>
    <row r="43" spans="1:6" hidden="1" x14ac:dyDescent="0.3">
      <c r="A43" s="1" t="s">
        <v>105</v>
      </c>
      <c r="B43" s="1">
        <v>1107</v>
      </c>
      <c r="C43" s="1" t="s">
        <v>89</v>
      </c>
      <c r="D43" s="2">
        <v>1125.1590000000001</v>
      </c>
      <c r="E43" s="2">
        <v>-14.526</v>
      </c>
      <c r="F43" s="2">
        <v>-758.94399999999996</v>
      </c>
    </row>
    <row r="44" spans="1:6" hidden="1" x14ac:dyDescent="0.3">
      <c r="A44" s="1" t="s">
        <v>105</v>
      </c>
      <c r="B44" s="1">
        <v>1110</v>
      </c>
      <c r="C44" s="1" t="s">
        <v>89</v>
      </c>
      <c r="D44" s="2">
        <v>1382.569</v>
      </c>
      <c r="E44" s="2">
        <v>-909.74</v>
      </c>
      <c r="F44" s="2">
        <v>-796.46900000000005</v>
      </c>
    </row>
    <row r="45" spans="1:6" hidden="1" x14ac:dyDescent="0.3">
      <c r="A45" s="1" t="s">
        <v>105</v>
      </c>
      <c r="B45" s="1">
        <v>1125</v>
      </c>
      <c r="C45" s="1" t="s">
        <v>89</v>
      </c>
      <c r="D45" s="2">
        <v>693.75300000000004</v>
      </c>
      <c r="E45" s="2">
        <v>-81.605999999999995</v>
      </c>
      <c r="F45" s="2">
        <v>131.32400000000001</v>
      </c>
    </row>
    <row r="46" spans="1:6" hidden="1" x14ac:dyDescent="0.3">
      <c r="A46" s="1" t="s">
        <v>105</v>
      </c>
      <c r="B46" s="1">
        <v>1126</v>
      </c>
      <c r="C46" s="1" t="s">
        <v>89</v>
      </c>
      <c r="D46" s="2">
        <v>161.80699999999999</v>
      </c>
      <c r="E46" s="2">
        <v>-1041.309</v>
      </c>
      <c r="F46" s="2">
        <v>-597.00400000000002</v>
      </c>
    </row>
    <row r="47" spans="1:6" hidden="1" x14ac:dyDescent="0.3">
      <c r="A47" s="1" t="s">
        <v>105</v>
      </c>
      <c r="B47" s="1">
        <v>1136</v>
      </c>
      <c r="C47" s="1" t="s">
        <v>89</v>
      </c>
      <c r="D47" s="2">
        <v>1103.0360000000001</v>
      </c>
      <c r="E47" s="2">
        <v>-36.488999999999997</v>
      </c>
      <c r="F47" s="2">
        <v>-757.88300000000004</v>
      </c>
    </row>
    <row r="48" spans="1:6" hidden="1" x14ac:dyDescent="0.3">
      <c r="A48" s="1" t="s">
        <v>105</v>
      </c>
      <c r="B48" s="1">
        <v>1140</v>
      </c>
      <c r="C48" s="1" t="s">
        <v>89</v>
      </c>
      <c r="D48" s="2">
        <v>1107.596</v>
      </c>
      <c r="E48" s="2">
        <v>-51.798999999999999</v>
      </c>
      <c r="F48" s="2">
        <v>-761.678</v>
      </c>
    </row>
    <row r="49" spans="1:6" hidden="1" x14ac:dyDescent="0.3">
      <c r="A49" s="1" t="s">
        <v>105</v>
      </c>
      <c r="B49" s="1">
        <v>1151</v>
      </c>
      <c r="C49" s="1" t="s">
        <v>89</v>
      </c>
      <c r="D49" s="2">
        <v>854.91200000000003</v>
      </c>
      <c r="E49" s="2">
        <v>-1058.606</v>
      </c>
      <c r="F49" s="2">
        <v>-1264.329</v>
      </c>
    </row>
    <row r="50" spans="1:6" hidden="1" x14ac:dyDescent="0.3">
      <c r="A50" s="1" t="s">
        <v>105</v>
      </c>
      <c r="B50" s="1">
        <v>1167</v>
      </c>
      <c r="C50" s="1" t="s">
        <v>89</v>
      </c>
      <c r="D50" s="2">
        <v>512.43399999999997</v>
      </c>
      <c r="E50" s="2">
        <v>-336.06</v>
      </c>
      <c r="F50" s="2">
        <v>-938.10699999999997</v>
      </c>
    </row>
    <row r="51" spans="1:6" x14ac:dyDescent="0.3">
      <c r="A51" s="1" t="s">
        <v>105</v>
      </c>
      <c r="B51" s="1">
        <v>116</v>
      </c>
      <c r="C51" s="1" t="s">
        <v>81</v>
      </c>
      <c r="D51" s="2">
        <v>1011.739</v>
      </c>
      <c r="E51" s="2">
        <v>-627.24199999999996</v>
      </c>
      <c r="F51" s="2">
        <v>-1134.9490000000001</v>
      </c>
    </row>
    <row r="52" spans="1:6" x14ac:dyDescent="0.3">
      <c r="A52" s="1" t="s">
        <v>105</v>
      </c>
      <c r="B52" s="1">
        <v>121</v>
      </c>
      <c r="C52" s="1" t="s">
        <v>93</v>
      </c>
      <c r="D52" s="2">
        <v>635.53899999999999</v>
      </c>
      <c r="E52" s="2">
        <v>-99.588999999999999</v>
      </c>
      <c r="F52" s="2">
        <v>95.965999999999994</v>
      </c>
    </row>
    <row r="53" spans="1:6" x14ac:dyDescent="0.3">
      <c r="A53" s="1" t="s">
        <v>105</v>
      </c>
      <c r="B53" s="1">
        <v>13</v>
      </c>
      <c r="C53" s="1" t="s">
        <v>80</v>
      </c>
      <c r="D53" s="2">
        <v>280.04300000000001</v>
      </c>
      <c r="E53" s="2">
        <v>3.5579999999999998</v>
      </c>
      <c r="F53" s="2">
        <v>200.518</v>
      </c>
    </row>
    <row r="54" spans="1:6" x14ac:dyDescent="0.3">
      <c r="A54" s="1" t="s">
        <v>105</v>
      </c>
      <c r="B54" s="1">
        <v>34</v>
      </c>
      <c r="C54" s="1" t="s">
        <v>74</v>
      </c>
      <c r="D54" s="2">
        <v>757.70500000000004</v>
      </c>
      <c r="E54" s="2">
        <v>-96.141000000000005</v>
      </c>
      <c r="F54" s="2">
        <v>-665.92600000000004</v>
      </c>
    </row>
    <row r="55" spans="1:6" x14ac:dyDescent="0.3">
      <c r="A55" s="1" t="s">
        <v>105</v>
      </c>
      <c r="B55" s="1">
        <v>37</v>
      </c>
      <c r="C55" s="1" t="s">
        <v>79</v>
      </c>
      <c r="D55" s="2">
        <v>33.296999999999997</v>
      </c>
      <c r="E55" s="2">
        <v>-99.51</v>
      </c>
      <c r="F55" s="2">
        <v>-390.71300000000002</v>
      </c>
    </row>
    <row r="56" spans="1:6" x14ac:dyDescent="0.3">
      <c r="A56" s="1" t="s">
        <v>105</v>
      </c>
      <c r="B56" s="1">
        <v>4</v>
      </c>
      <c r="C56" s="1" t="s">
        <v>88</v>
      </c>
      <c r="D56" s="2">
        <v>1045.4549999999999</v>
      </c>
      <c r="E56" s="2">
        <v>-514.89200000000005</v>
      </c>
      <c r="F56" s="2">
        <v>-1104.8879999999999</v>
      </c>
    </row>
    <row r="57" spans="1:6" x14ac:dyDescent="0.3">
      <c r="A57" s="1" t="s">
        <v>105</v>
      </c>
      <c r="B57" s="1">
        <v>42</v>
      </c>
      <c r="C57" s="1" t="s">
        <v>90</v>
      </c>
      <c r="D57" s="2">
        <v>1083.175</v>
      </c>
      <c r="E57" s="2">
        <v>-97.664000000000001</v>
      </c>
      <c r="F57" s="2">
        <v>-356.78</v>
      </c>
    </row>
    <row r="58" spans="1:6" x14ac:dyDescent="0.3">
      <c r="A58" s="1" t="s">
        <v>105</v>
      </c>
      <c r="B58" s="1">
        <v>506</v>
      </c>
      <c r="C58" s="1" t="s">
        <v>82</v>
      </c>
      <c r="D58" s="2">
        <v>1148.377</v>
      </c>
      <c r="E58" s="2">
        <v>-24.509</v>
      </c>
      <c r="F58" s="2">
        <v>-460.96699999999998</v>
      </c>
    </row>
    <row r="59" spans="1:6" hidden="1" x14ac:dyDescent="0.3">
      <c r="A59" s="1" t="s">
        <v>106</v>
      </c>
      <c r="B59" s="1">
        <v>1001</v>
      </c>
      <c r="C59" s="1" t="s">
        <v>89</v>
      </c>
      <c r="D59" s="2">
        <v>1126.367</v>
      </c>
      <c r="E59" s="2">
        <v>-24.788</v>
      </c>
      <c r="F59" s="2">
        <v>-490.363</v>
      </c>
    </row>
    <row r="60" spans="1:6" hidden="1" x14ac:dyDescent="0.3">
      <c r="A60" s="1" t="s">
        <v>106</v>
      </c>
      <c r="B60" s="1">
        <v>1003</v>
      </c>
      <c r="C60" s="1" t="s">
        <v>89</v>
      </c>
      <c r="D60" s="2">
        <v>698.80399999999997</v>
      </c>
      <c r="E60" s="2">
        <v>-28.463000000000001</v>
      </c>
      <c r="F60" s="2">
        <v>-1064.4670000000001</v>
      </c>
    </row>
    <row r="61" spans="1:6" hidden="1" x14ac:dyDescent="0.3">
      <c r="A61" s="1" t="s">
        <v>106</v>
      </c>
      <c r="B61" s="1">
        <v>1006</v>
      </c>
      <c r="C61" s="1" t="s">
        <v>89</v>
      </c>
      <c r="D61" s="2">
        <v>449.1</v>
      </c>
      <c r="E61" s="2">
        <v>3.585</v>
      </c>
      <c r="F61" s="2">
        <v>309.07900000000001</v>
      </c>
    </row>
    <row r="62" spans="1:6" hidden="1" x14ac:dyDescent="0.3">
      <c r="A62" s="1" t="s">
        <v>106</v>
      </c>
      <c r="B62" s="1">
        <v>1007</v>
      </c>
      <c r="C62" s="1" t="s">
        <v>89</v>
      </c>
      <c r="D62" s="2">
        <v>1082.5740000000001</v>
      </c>
      <c r="E62" s="2">
        <v>-97.349000000000004</v>
      </c>
      <c r="F62" s="2">
        <v>-381.41399999999999</v>
      </c>
    </row>
    <row r="63" spans="1:6" hidden="1" x14ac:dyDescent="0.3">
      <c r="A63" s="1" t="s">
        <v>106</v>
      </c>
      <c r="B63" s="1">
        <v>1009</v>
      </c>
      <c r="C63" s="1" t="s">
        <v>89</v>
      </c>
      <c r="D63" s="2">
        <v>248.72499999999999</v>
      </c>
      <c r="E63" s="2">
        <v>-269.63200000000001</v>
      </c>
      <c r="F63" s="2">
        <v>-355.762</v>
      </c>
    </row>
    <row r="64" spans="1:6" hidden="1" x14ac:dyDescent="0.3">
      <c r="A64" s="1" t="s">
        <v>106</v>
      </c>
      <c r="B64" s="1">
        <v>1010</v>
      </c>
      <c r="C64" s="1" t="s">
        <v>89</v>
      </c>
      <c r="D64" s="2">
        <v>9.1129999999999995</v>
      </c>
      <c r="E64" s="2">
        <v>-99.137</v>
      </c>
      <c r="F64" s="2">
        <v>-385.82</v>
      </c>
    </row>
    <row r="65" spans="1:6" hidden="1" x14ac:dyDescent="0.3">
      <c r="A65" s="1" t="s">
        <v>106</v>
      </c>
      <c r="B65" s="1">
        <v>1011</v>
      </c>
      <c r="C65" s="1" t="s">
        <v>89</v>
      </c>
      <c r="D65" s="2">
        <v>357.17399999999998</v>
      </c>
      <c r="E65" s="2">
        <v>-99.326999999999998</v>
      </c>
      <c r="F65" s="2">
        <v>-129.113</v>
      </c>
    </row>
    <row r="66" spans="1:6" hidden="1" x14ac:dyDescent="0.3">
      <c r="A66" s="1" t="s">
        <v>106</v>
      </c>
      <c r="B66" s="1">
        <v>1012</v>
      </c>
      <c r="C66" s="1" t="s">
        <v>89</v>
      </c>
      <c r="D66" s="2">
        <v>733.08600000000001</v>
      </c>
      <c r="E66" s="2">
        <v>-96.18</v>
      </c>
      <c r="F66" s="2">
        <v>-664.03599999999994</v>
      </c>
    </row>
    <row r="67" spans="1:6" hidden="1" x14ac:dyDescent="0.3">
      <c r="A67" s="1" t="s">
        <v>106</v>
      </c>
      <c r="B67" s="1">
        <v>1015</v>
      </c>
      <c r="C67" s="1" t="s">
        <v>89</v>
      </c>
      <c r="D67" s="2">
        <v>511.20100000000002</v>
      </c>
      <c r="E67" s="2">
        <v>-409.74799999999999</v>
      </c>
      <c r="F67" s="2">
        <v>412.57400000000001</v>
      </c>
    </row>
    <row r="68" spans="1:6" hidden="1" x14ac:dyDescent="0.3">
      <c r="A68" s="1" t="s">
        <v>106</v>
      </c>
      <c r="B68" s="1">
        <v>1020</v>
      </c>
      <c r="C68" s="1" t="s">
        <v>89</v>
      </c>
      <c r="D68" s="2">
        <v>496.21499999999997</v>
      </c>
      <c r="E68" s="2">
        <v>-268.012</v>
      </c>
      <c r="F68" s="2">
        <v>-643.08000000000004</v>
      </c>
    </row>
    <row r="69" spans="1:6" hidden="1" x14ac:dyDescent="0.3">
      <c r="A69" s="1" t="s">
        <v>106</v>
      </c>
      <c r="B69" s="1">
        <v>1023</v>
      </c>
      <c r="C69" s="1" t="s">
        <v>89</v>
      </c>
      <c r="D69" s="2">
        <v>1041.3399999999999</v>
      </c>
      <c r="E69" s="2">
        <v>-39.658999999999999</v>
      </c>
      <c r="F69" s="2">
        <v>-809.40499999999997</v>
      </c>
    </row>
    <row r="70" spans="1:6" hidden="1" x14ac:dyDescent="0.3">
      <c r="A70" s="1" t="s">
        <v>106</v>
      </c>
      <c r="B70" s="1">
        <v>1027</v>
      </c>
      <c r="C70" s="1" t="s">
        <v>89</v>
      </c>
      <c r="D70" s="2">
        <v>987.66600000000005</v>
      </c>
      <c r="E70" s="2">
        <v>0.89200000000000002</v>
      </c>
      <c r="F70" s="2">
        <v>-804.58600000000001</v>
      </c>
    </row>
    <row r="71" spans="1:6" hidden="1" x14ac:dyDescent="0.3">
      <c r="A71" s="1" t="s">
        <v>106</v>
      </c>
      <c r="B71" s="1">
        <v>1031</v>
      </c>
      <c r="C71" s="1" t="s">
        <v>89</v>
      </c>
      <c r="D71" s="2">
        <v>258.11799999999999</v>
      </c>
      <c r="E71" s="2">
        <v>3.6850000000000001</v>
      </c>
      <c r="F71" s="2">
        <v>188.87799999999999</v>
      </c>
    </row>
    <row r="72" spans="1:6" hidden="1" x14ac:dyDescent="0.3">
      <c r="A72" s="1" t="s">
        <v>106</v>
      </c>
      <c r="B72" s="1">
        <v>1032</v>
      </c>
      <c r="C72" s="1" t="s">
        <v>89</v>
      </c>
      <c r="D72" s="2">
        <v>1198.867</v>
      </c>
      <c r="E72" s="2">
        <v>-653.09400000000005</v>
      </c>
      <c r="F72" s="2">
        <v>-974.875</v>
      </c>
    </row>
    <row r="73" spans="1:6" hidden="1" x14ac:dyDescent="0.3">
      <c r="A73" s="1" t="s">
        <v>106</v>
      </c>
      <c r="B73" s="1">
        <v>1033</v>
      </c>
      <c r="C73" s="1" t="s">
        <v>89</v>
      </c>
      <c r="D73" s="2">
        <v>219.57900000000001</v>
      </c>
      <c r="E73" s="2">
        <v>-604.18299999999999</v>
      </c>
      <c r="F73" s="2">
        <v>-1074.558</v>
      </c>
    </row>
    <row r="74" spans="1:6" hidden="1" x14ac:dyDescent="0.3">
      <c r="A74" s="1" t="s">
        <v>106</v>
      </c>
      <c r="B74" s="1">
        <v>1039</v>
      </c>
      <c r="C74" s="1" t="s">
        <v>89</v>
      </c>
      <c r="D74" s="2">
        <v>85.287999999999997</v>
      </c>
      <c r="E74" s="2">
        <v>-1415.45</v>
      </c>
      <c r="F74" s="2">
        <v>-460.59199999999998</v>
      </c>
    </row>
    <row r="75" spans="1:6" hidden="1" x14ac:dyDescent="0.3">
      <c r="A75" s="1" t="s">
        <v>106</v>
      </c>
      <c r="B75" s="1">
        <v>1048</v>
      </c>
      <c r="C75" s="1" t="s">
        <v>89</v>
      </c>
      <c r="D75" s="2">
        <v>1106.1469999999999</v>
      </c>
      <c r="E75" s="2">
        <v>3.24</v>
      </c>
      <c r="F75" s="2">
        <v>-701.31600000000003</v>
      </c>
    </row>
    <row r="76" spans="1:6" hidden="1" x14ac:dyDescent="0.3">
      <c r="A76" s="1" t="s">
        <v>106</v>
      </c>
      <c r="B76" s="1">
        <v>1050</v>
      </c>
      <c r="C76" s="1" t="s">
        <v>89</v>
      </c>
      <c r="D76" s="2">
        <v>1290.4590000000001</v>
      </c>
      <c r="E76" s="2">
        <v>6.9009999999999998</v>
      </c>
      <c r="F76" s="2">
        <v>-674.29700000000003</v>
      </c>
    </row>
    <row r="77" spans="1:6" hidden="1" x14ac:dyDescent="0.3">
      <c r="A77" s="1" t="s">
        <v>106</v>
      </c>
      <c r="B77" s="1">
        <v>1055</v>
      </c>
      <c r="C77" s="1" t="s">
        <v>89</v>
      </c>
      <c r="D77" s="2">
        <v>1005.098</v>
      </c>
      <c r="E77" s="2">
        <v>3.5960000000000001</v>
      </c>
      <c r="F77" s="2">
        <v>-839.12800000000004</v>
      </c>
    </row>
    <row r="78" spans="1:6" hidden="1" x14ac:dyDescent="0.3">
      <c r="A78" s="1" t="s">
        <v>106</v>
      </c>
      <c r="B78" s="1">
        <v>1059</v>
      </c>
      <c r="C78" s="1" t="s">
        <v>89</v>
      </c>
      <c r="D78" s="2">
        <v>549.37199999999996</v>
      </c>
      <c r="E78" s="2">
        <v>-3.319</v>
      </c>
      <c r="F78" s="2">
        <v>237.637</v>
      </c>
    </row>
    <row r="79" spans="1:6" hidden="1" x14ac:dyDescent="0.3">
      <c r="A79" s="1" t="s">
        <v>106</v>
      </c>
      <c r="B79" s="1">
        <v>1062</v>
      </c>
      <c r="C79" s="1" t="s">
        <v>89</v>
      </c>
      <c r="D79" s="2">
        <v>358.47300000000001</v>
      </c>
      <c r="E79" s="2">
        <v>-129.46199999999999</v>
      </c>
      <c r="F79" s="2">
        <v>-1371.954</v>
      </c>
    </row>
    <row r="80" spans="1:6" hidden="1" x14ac:dyDescent="0.3">
      <c r="A80" s="1" t="s">
        <v>106</v>
      </c>
      <c r="B80" s="1">
        <v>1065</v>
      </c>
      <c r="C80" s="1" t="s">
        <v>89</v>
      </c>
      <c r="D80" s="2">
        <v>1388.03</v>
      </c>
      <c r="E80" s="2">
        <v>-501.88400000000001</v>
      </c>
      <c r="F80" s="2">
        <v>-787.06700000000001</v>
      </c>
    </row>
    <row r="81" spans="1:6" hidden="1" x14ac:dyDescent="0.3">
      <c r="A81" s="1" t="s">
        <v>106</v>
      </c>
      <c r="B81" s="1">
        <v>1076</v>
      </c>
      <c r="C81" s="1" t="s">
        <v>89</v>
      </c>
      <c r="D81" s="2">
        <v>1346.14</v>
      </c>
      <c r="E81" s="2">
        <v>-727.09400000000005</v>
      </c>
      <c r="F81" s="2">
        <v>-553.35599999999999</v>
      </c>
    </row>
    <row r="82" spans="1:6" hidden="1" x14ac:dyDescent="0.3">
      <c r="A82" s="1" t="s">
        <v>106</v>
      </c>
      <c r="B82" s="1">
        <v>1080</v>
      </c>
      <c r="C82" s="1" t="s">
        <v>89</v>
      </c>
      <c r="D82" s="2">
        <v>1383.1010000000001</v>
      </c>
      <c r="E82" s="2">
        <v>-508.99099999999999</v>
      </c>
      <c r="F82" s="2">
        <v>-795.471</v>
      </c>
    </row>
    <row r="83" spans="1:6" hidden="1" x14ac:dyDescent="0.3">
      <c r="A83" s="1" t="s">
        <v>106</v>
      </c>
      <c r="B83" s="1">
        <v>1082</v>
      </c>
      <c r="C83" s="1" t="s">
        <v>89</v>
      </c>
      <c r="D83" s="2">
        <v>1386.7270000000001</v>
      </c>
      <c r="E83" s="2">
        <v>-1339.874</v>
      </c>
      <c r="F83" s="2">
        <v>-787.04300000000001</v>
      </c>
    </row>
    <row r="84" spans="1:6" hidden="1" x14ac:dyDescent="0.3">
      <c r="A84" s="1" t="s">
        <v>106</v>
      </c>
      <c r="B84" s="1">
        <v>1083</v>
      </c>
      <c r="C84" s="1" t="s">
        <v>89</v>
      </c>
      <c r="D84" s="2">
        <v>1389.4490000000001</v>
      </c>
      <c r="E84" s="2">
        <v>-1341.646</v>
      </c>
      <c r="F84" s="2">
        <v>-790.74900000000002</v>
      </c>
    </row>
    <row r="85" spans="1:6" hidden="1" x14ac:dyDescent="0.3">
      <c r="A85" s="1" t="s">
        <v>106</v>
      </c>
      <c r="B85" s="1">
        <v>1100</v>
      </c>
      <c r="C85" s="1" t="s">
        <v>89</v>
      </c>
      <c r="D85" s="2">
        <v>1382.952</v>
      </c>
      <c r="E85" s="2">
        <v>-346.98399999999998</v>
      </c>
      <c r="F85" s="2">
        <v>-794.60299999999995</v>
      </c>
    </row>
    <row r="86" spans="1:6" hidden="1" x14ac:dyDescent="0.3">
      <c r="A86" s="1" t="s">
        <v>106</v>
      </c>
      <c r="B86" s="1">
        <v>1101</v>
      </c>
      <c r="C86" s="1" t="s">
        <v>89</v>
      </c>
      <c r="D86" s="2">
        <v>646.03700000000003</v>
      </c>
      <c r="E86" s="2">
        <v>-824.12</v>
      </c>
      <c r="F86" s="2">
        <v>-1396.317</v>
      </c>
    </row>
    <row r="87" spans="1:6" x14ac:dyDescent="0.3">
      <c r="A87" s="1" t="s">
        <v>105</v>
      </c>
      <c r="B87" s="1">
        <v>507</v>
      </c>
      <c r="C87" s="1" t="s">
        <v>83</v>
      </c>
      <c r="D87" s="2">
        <v>676.41300000000001</v>
      </c>
      <c r="E87" s="2">
        <v>-29.733000000000001</v>
      </c>
      <c r="F87" s="2">
        <v>-1094.1880000000001</v>
      </c>
    </row>
    <row r="88" spans="1:6" x14ac:dyDescent="0.3">
      <c r="A88" s="1" t="s">
        <v>105</v>
      </c>
      <c r="B88" s="1">
        <v>509</v>
      </c>
      <c r="C88" s="1" t="s">
        <v>97</v>
      </c>
      <c r="D88" s="2">
        <v>488.351</v>
      </c>
      <c r="E88" s="2">
        <v>-400.55799999999999</v>
      </c>
      <c r="F88" s="2">
        <v>439.95699999999999</v>
      </c>
    </row>
    <row r="89" spans="1:6" x14ac:dyDescent="0.3">
      <c r="A89" s="1" t="s">
        <v>105</v>
      </c>
      <c r="B89" s="1">
        <v>57</v>
      </c>
      <c r="C89" s="1" t="s">
        <v>91</v>
      </c>
      <c r="D89" s="2">
        <v>381.72899999999998</v>
      </c>
      <c r="E89" s="2">
        <v>-99.488</v>
      </c>
      <c r="F89" s="2">
        <v>-132.196</v>
      </c>
    </row>
    <row r="90" spans="1:6" x14ac:dyDescent="0.3">
      <c r="A90" s="1" t="s">
        <v>105</v>
      </c>
      <c r="B90" s="1">
        <v>87</v>
      </c>
      <c r="C90" s="1" t="s">
        <v>86</v>
      </c>
      <c r="D90" s="2">
        <v>1198.3520000000001</v>
      </c>
      <c r="E90" s="2">
        <v>-633.30899999999997</v>
      </c>
      <c r="F90" s="2">
        <v>-974.89300000000003</v>
      </c>
    </row>
    <row r="91" spans="1:6" x14ac:dyDescent="0.3">
      <c r="A91" s="1" t="s">
        <v>105</v>
      </c>
      <c r="B91" s="1">
        <v>92</v>
      </c>
      <c r="C91" s="1" t="s">
        <v>92</v>
      </c>
      <c r="D91" s="2">
        <v>532.42499999999995</v>
      </c>
      <c r="E91" s="2">
        <v>-96.355999999999995</v>
      </c>
      <c r="F91" s="2">
        <v>-862.404</v>
      </c>
    </row>
    <row r="92" spans="1:6" x14ac:dyDescent="0.3">
      <c r="A92" s="1" t="s">
        <v>105</v>
      </c>
      <c r="B92" s="1">
        <v>96</v>
      </c>
      <c r="C92" s="1" t="s">
        <v>84</v>
      </c>
      <c r="D92" s="2">
        <v>424.923</v>
      </c>
      <c r="E92" s="2">
        <v>3.706</v>
      </c>
      <c r="F92" s="2">
        <v>303.69299999999998</v>
      </c>
    </row>
    <row r="93" spans="1:6" x14ac:dyDescent="0.3">
      <c r="A93" s="1" t="s">
        <v>106</v>
      </c>
      <c r="B93" s="1">
        <v>1005</v>
      </c>
      <c r="C93" s="1" t="s">
        <v>75</v>
      </c>
      <c r="D93" s="2">
        <v>575.70699999999999</v>
      </c>
      <c r="E93" s="2">
        <v>-52.798999999999999</v>
      </c>
      <c r="F93" s="2">
        <v>347.279</v>
      </c>
    </row>
    <row r="94" spans="1:6" x14ac:dyDescent="0.3">
      <c r="A94" s="1" t="s">
        <v>106</v>
      </c>
      <c r="B94" s="1">
        <v>1002</v>
      </c>
      <c r="C94" s="1" t="s">
        <v>76</v>
      </c>
      <c r="D94" s="2">
        <v>1296.8040000000001</v>
      </c>
      <c r="E94" s="2">
        <v>-47.927</v>
      </c>
      <c r="F94" s="2">
        <v>-489.36399999999998</v>
      </c>
    </row>
    <row r="95" spans="1:6" x14ac:dyDescent="0.3">
      <c r="A95" s="1" t="s">
        <v>106</v>
      </c>
      <c r="B95" s="1">
        <v>1022</v>
      </c>
      <c r="C95" s="1" t="s">
        <v>77</v>
      </c>
      <c r="D95" s="2">
        <v>604.74800000000005</v>
      </c>
      <c r="E95" s="2">
        <v>-45.97</v>
      </c>
      <c r="F95" s="2">
        <v>-1115.0540000000001</v>
      </c>
    </row>
    <row r="96" spans="1:6" hidden="1" x14ac:dyDescent="0.3">
      <c r="A96" s="1" t="s">
        <v>107</v>
      </c>
      <c r="B96" s="1">
        <v>1001</v>
      </c>
      <c r="C96" s="1" t="s">
        <v>89</v>
      </c>
      <c r="D96" s="2">
        <v>511.68700000000001</v>
      </c>
      <c r="E96" s="2">
        <v>-410.524</v>
      </c>
      <c r="F96" s="2">
        <v>412.50799999999998</v>
      </c>
    </row>
    <row r="97" spans="1:6" hidden="1" x14ac:dyDescent="0.3">
      <c r="A97" s="1" t="s">
        <v>107</v>
      </c>
      <c r="B97" s="1">
        <v>1002</v>
      </c>
      <c r="C97" s="1" t="s">
        <v>89</v>
      </c>
      <c r="D97" s="2">
        <v>496.524</v>
      </c>
      <c r="E97" s="2">
        <v>-267.28800000000001</v>
      </c>
      <c r="F97" s="2">
        <v>-643.11300000000006</v>
      </c>
    </row>
    <row r="98" spans="1:6" hidden="1" x14ac:dyDescent="0.3">
      <c r="A98" s="1" t="s">
        <v>107</v>
      </c>
      <c r="B98" s="1">
        <v>1005</v>
      </c>
      <c r="C98" s="1" t="s">
        <v>89</v>
      </c>
      <c r="D98" s="2">
        <v>448.90100000000001</v>
      </c>
      <c r="E98" s="2">
        <v>2.972</v>
      </c>
      <c r="F98" s="2">
        <v>309.52999999999997</v>
      </c>
    </row>
    <row r="99" spans="1:6" hidden="1" x14ac:dyDescent="0.3">
      <c r="A99" s="1" t="s">
        <v>107</v>
      </c>
      <c r="B99" s="1">
        <v>1008</v>
      </c>
      <c r="C99" s="1" t="s">
        <v>89</v>
      </c>
      <c r="D99" s="2">
        <v>1199.8889999999999</v>
      </c>
      <c r="E99" s="2">
        <v>-650.74099999999999</v>
      </c>
      <c r="F99" s="2">
        <v>-975.50900000000001</v>
      </c>
    </row>
    <row r="100" spans="1:6" hidden="1" x14ac:dyDescent="0.3">
      <c r="A100" s="1" t="s">
        <v>107</v>
      </c>
      <c r="B100" s="1">
        <v>1009</v>
      </c>
      <c r="C100" s="1" t="s">
        <v>89</v>
      </c>
      <c r="D100" s="2">
        <v>733.09799999999996</v>
      </c>
      <c r="E100" s="2">
        <v>-95.054000000000002</v>
      </c>
      <c r="F100" s="2">
        <v>-663.81299999999999</v>
      </c>
    </row>
    <row r="101" spans="1:6" hidden="1" x14ac:dyDescent="0.3">
      <c r="A101" s="1" t="s">
        <v>107</v>
      </c>
      <c r="B101" s="1">
        <v>1010</v>
      </c>
      <c r="C101" s="1" t="s">
        <v>89</v>
      </c>
      <c r="D101" s="2">
        <v>263.37299999999999</v>
      </c>
      <c r="E101" s="2">
        <v>-5.1769999999999996</v>
      </c>
      <c r="F101" s="2">
        <v>38.779000000000003</v>
      </c>
    </row>
    <row r="102" spans="1:6" hidden="1" x14ac:dyDescent="0.3">
      <c r="A102" s="1" t="s">
        <v>107</v>
      </c>
      <c r="B102" s="1">
        <v>1011</v>
      </c>
      <c r="C102" s="1" t="s">
        <v>89</v>
      </c>
      <c r="D102" s="2">
        <v>1126.2940000000001</v>
      </c>
      <c r="E102" s="2">
        <v>-23.303000000000001</v>
      </c>
      <c r="F102" s="2">
        <v>-490.06700000000001</v>
      </c>
    </row>
    <row r="103" spans="1:6" hidden="1" x14ac:dyDescent="0.3">
      <c r="A103" s="1" t="s">
        <v>107</v>
      </c>
      <c r="B103" s="1">
        <v>1017</v>
      </c>
      <c r="C103" s="1" t="s">
        <v>89</v>
      </c>
      <c r="D103" s="2">
        <v>-152.375</v>
      </c>
      <c r="E103" s="2">
        <v>-593.19600000000003</v>
      </c>
      <c r="F103" s="2">
        <v>-644.26099999999997</v>
      </c>
    </row>
    <row r="104" spans="1:6" hidden="1" x14ac:dyDescent="0.3">
      <c r="A104" s="1" t="s">
        <v>107</v>
      </c>
      <c r="B104" s="1">
        <v>1018</v>
      </c>
      <c r="C104" s="1" t="s">
        <v>89</v>
      </c>
      <c r="D104" s="2">
        <v>357.16199999999998</v>
      </c>
      <c r="E104" s="2">
        <v>-99.54</v>
      </c>
      <c r="F104" s="2">
        <v>-128.898</v>
      </c>
    </row>
    <row r="105" spans="1:6" hidden="1" x14ac:dyDescent="0.3">
      <c r="A105" s="1" t="s">
        <v>107</v>
      </c>
      <c r="B105" s="1">
        <v>1020</v>
      </c>
      <c r="C105" s="1" t="s">
        <v>89</v>
      </c>
      <c r="D105" s="2">
        <v>249</v>
      </c>
      <c r="E105" s="2">
        <v>-269.65300000000002</v>
      </c>
      <c r="F105" s="2">
        <v>-355.80099999999999</v>
      </c>
    </row>
    <row r="106" spans="1:6" hidden="1" x14ac:dyDescent="0.3">
      <c r="A106" s="1" t="s">
        <v>107</v>
      </c>
      <c r="B106" s="1">
        <v>1022</v>
      </c>
      <c r="C106" s="1" t="s">
        <v>89</v>
      </c>
      <c r="D106" s="2">
        <v>698.70299999999997</v>
      </c>
      <c r="E106" s="2">
        <v>-26.914000000000001</v>
      </c>
      <c r="F106" s="2">
        <v>-1064.1469999999999</v>
      </c>
    </row>
    <row r="107" spans="1:6" hidden="1" x14ac:dyDescent="0.3">
      <c r="A107" s="1" t="s">
        <v>107</v>
      </c>
      <c r="B107" s="1">
        <v>1023</v>
      </c>
      <c r="C107" s="1" t="s">
        <v>89</v>
      </c>
      <c r="D107" s="2">
        <v>590.44500000000005</v>
      </c>
      <c r="E107" s="2">
        <v>-334.12599999999998</v>
      </c>
      <c r="F107" s="2">
        <v>-998.28700000000003</v>
      </c>
    </row>
    <row r="108" spans="1:6" hidden="1" x14ac:dyDescent="0.3">
      <c r="A108" s="1" t="s">
        <v>107</v>
      </c>
      <c r="B108" s="1">
        <v>1025</v>
      </c>
      <c r="C108" s="1" t="s">
        <v>89</v>
      </c>
      <c r="D108" s="2">
        <v>257.91000000000003</v>
      </c>
      <c r="E108" s="2">
        <v>2.97</v>
      </c>
      <c r="F108" s="2">
        <v>189.27799999999999</v>
      </c>
    </row>
    <row r="109" spans="1:6" hidden="1" x14ac:dyDescent="0.3">
      <c r="A109" s="1" t="s">
        <v>107</v>
      </c>
      <c r="B109" s="1">
        <v>1026</v>
      </c>
      <c r="C109" s="1" t="s">
        <v>89</v>
      </c>
      <c r="D109" s="2">
        <v>247.21100000000001</v>
      </c>
      <c r="E109" s="2">
        <v>-310.21300000000002</v>
      </c>
      <c r="F109" s="2">
        <v>-594.24199999999996</v>
      </c>
    </row>
    <row r="110" spans="1:6" hidden="1" x14ac:dyDescent="0.3">
      <c r="A110" s="1" t="s">
        <v>107</v>
      </c>
      <c r="B110" s="1">
        <v>1035</v>
      </c>
      <c r="C110" s="1" t="s">
        <v>89</v>
      </c>
      <c r="D110" s="2">
        <v>1290.259</v>
      </c>
      <c r="E110" s="2">
        <v>8.875</v>
      </c>
      <c r="F110" s="2">
        <v>-673.96699999999998</v>
      </c>
    </row>
    <row r="111" spans="1:6" hidden="1" x14ac:dyDescent="0.3">
      <c r="A111" s="1" t="s">
        <v>107</v>
      </c>
      <c r="B111" s="1">
        <v>1036</v>
      </c>
      <c r="C111" s="1" t="s">
        <v>89</v>
      </c>
      <c r="D111" s="2">
        <v>153.13900000000001</v>
      </c>
      <c r="E111" s="2">
        <v>-0.36499999999999999</v>
      </c>
      <c r="F111" s="2">
        <v>157.67099999999999</v>
      </c>
    </row>
    <row r="112" spans="1:6" hidden="1" x14ac:dyDescent="0.3">
      <c r="A112" s="1" t="s">
        <v>107</v>
      </c>
      <c r="B112" s="1">
        <v>1038</v>
      </c>
      <c r="C112" s="1" t="s">
        <v>89</v>
      </c>
      <c r="D112" s="2">
        <v>1171.673</v>
      </c>
      <c r="E112" s="2">
        <v>5.7140000000000004</v>
      </c>
      <c r="F112" s="2">
        <v>-776.90499999999997</v>
      </c>
    </row>
    <row r="113" spans="1:6" hidden="1" x14ac:dyDescent="0.3">
      <c r="A113" s="1" t="s">
        <v>107</v>
      </c>
      <c r="B113" s="1">
        <v>1039</v>
      </c>
      <c r="C113" s="1" t="s">
        <v>89</v>
      </c>
      <c r="D113" s="2">
        <v>-152.411</v>
      </c>
      <c r="E113" s="2">
        <v>-593.13199999999995</v>
      </c>
      <c r="F113" s="2">
        <v>-644.28099999999995</v>
      </c>
    </row>
    <row r="114" spans="1:6" hidden="1" x14ac:dyDescent="0.3">
      <c r="A114" s="1" t="s">
        <v>107</v>
      </c>
      <c r="B114" s="1">
        <v>1041</v>
      </c>
      <c r="C114" s="1" t="s">
        <v>89</v>
      </c>
      <c r="D114" s="2">
        <v>63.997999999999998</v>
      </c>
      <c r="E114" s="2">
        <v>-333.14400000000001</v>
      </c>
      <c r="F114" s="2">
        <v>-360.392</v>
      </c>
    </row>
    <row r="115" spans="1:6" hidden="1" x14ac:dyDescent="0.3">
      <c r="A115" s="1" t="s">
        <v>107</v>
      </c>
      <c r="B115" s="1">
        <v>1045</v>
      </c>
      <c r="C115" s="1" t="s">
        <v>89</v>
      </c>
      <c r="D115" s="2">
        <v>749.37</v>
      </c>
      <c r="E115" s="2">
        <v>-95.033000000000001</v>
      </c>
      <c r="F115" s="2">
        <v>-647.54100000000005</v>
      </c>
    </row>
    <row r="116" spans="1:6" hidden="1" x14ac:dyDescent="0.3">
      <c r="A116" s="1" t="s">
        <v>107</v>
      </c>
      <c r="B116" s="1">
        <v>1049</v>
      </c>
      <c r="C116" s="1" t="s">
        <v>89</v>
      </c>
      <c r="D116" s="2">
        <v>1040.5830000000001</v>
      </c>
      <c r="E116" s="2">
        <v>-39.591000000000001</v>
      </c>
      <c r="F116" s="2">
        <v>-808.56700000000001</v>
      </c>
    </row>
    <row r="117" spans="1:6" hidden="1" x14ac:dyDescent="0.3">
      <c r="A117" s="1" t="s">
        <v>107</v>
      </c>
      <c r="B117" s="1">
        <v>1052</v>
      </c>
      <c r="C117" s="1" t="s">
        <v>89</v>
      </c>
      <c r="D117" s="2">
        <v>9.1280000000000001</v>
      </c>
      <c r="E117" s="2">
        <v>-99.784000000000006</v>
      </c>
      <c r="F117" s="2">
        <v>-385.61200000000002</v>
      </c>
    </row>
    <row r="118" spans="1:6" hidden="1" x14ac:dyDescent="0.3">
      <c r="A118" s="1" t="s">
        <v>107</v>
      </c>
      <c r="B118" s="1">
        <v>1055</v>
      </c>
      <c r="C118" s="1" t="s">
        <v>89</v>
      </c>
      <c r="D118" s="2">
        <v>1106.0409999999999</v>
      </c>
      <c r="E118" s="2">
        <v>4.2919999999999998</v>
      </c>
      <c r="F118" s="2">
        <v>-700.97400000000005</v>
      </c>
    </row>
    <row r="119" spans="1:6" hidden="1" x14ac:dyDescent="0.3">
      <c r="A119" s="1" t="s">
        <v>107</v>
      </c>
      <c r="B119" s="1">
        <v>1058</v>
      </c>
      <c r="C119" s="1" t="s">
        <v>89</v>
      </c>
      <c r="D119" s="2">
        <v>147.328</v>
      </c>
      <c r="E119" s="2">
        <v>-309.50900000000001</v>
      </c>
      <c r="F119" s="2">
        <v>-381.80500000000001</v>
      </c>
    </row>
    <row r="120" spans="1:6" hidden="1" x14ac:dyDescent="0.3">
      <c r="A120" s="1" t="s">
        <v>107</v>
      </c>
      <c r="B120" s="1">
        <v>1060</v>
      </c>
      <c r="C120" s="1" t="s">
        <v>89</v>
      </c>
      <c r="D120" s="2">
        <v>1004.979</v>
      </c>
      <c r="E120" s="2">
        <v>5.8449999999999998</v>
      </c>
      <c r="F120" s="2">
        <v>-838.81399999999996</v>
      </c>
    </row>
    <row r="121" spans="1:6" hidden="1" x14ac:dyDescent="0.3">
      <c r="A121" s="1" t="s">
        <v>107</v>
      </c>
      <c r="B121" s="1">
        <v>1061</v>
      </c>
      <c r="C121" s="1" t="s">
        <v>89</v>
      </c>
      <c r="D121" s="2">
        <v>1224.799</v>
      </c>
      <c r="E121" s="2">
        <v>6.2229999999999999</v>
      </c>
      <c r="F121" s="2">
        <v>-598.37099999999998</v>
      </c>
    </row>
    <row r="122" spans="1:6" hidden="1" x14ac:dyDescent="0.3">
      <c r="A122" s="1" t="s">
        <v>107</v>
      </c>
      <c r="B122" s="1">
        <v>1065</v>
      </c>
      <c r="C122" s="1" t="s">
        <v>89</v>
      </c>
      <c r="D122" s="2">
        <v>73.492999999999995</v>
      </c>
      <c r="E122" s="2">
        <v>-337.786</v>
      </c>
      <c r="F122" s="2">
        <v>-353.60199999999998</v>
      </c>
    </row>
    <row r="123" spans="1:6" hidden="1" x14ac:dyDescent="0.3">
      <c r="A123" s="1" t="s">
        <v>107</v>
      </c>
      <c r="B123" s="1">
        <v>1066</v>
      </c>
      <c r="C123" s="1" t="s">
        <v>89</v>
      </c>
      <c r="D123" s="2">
        <v>1383.857</v>
      </c>
      <c r="E123" s="2">
        <v>-343.60300000000001</v>
      </c>
      <c r="F123" s="2">
        <v>-795.24599999999998</v>
      </c>
    </row>
    <row r="124" spans="1:6" hidden="1" x14ac:dyDescent="0.3">
      <c r="A124" s="1" t="s">
        <v>107</v>
      </c>
      <c r="B124" s="1">
        <v>1067</v>
      </c>
      <c r="C124" s="1" t="s">
        <v>89</v>
      </c>
      <c r="D124" s="2">
        <v>1152.183</v>
      </c>
      <c r="E124" s="2">
        <v>-25.56</v>
      </c>
      <c r="F124" s="2">
        <v>-743.71100000000001</v>
      </c>
    </row>
    <row r="125" spans="1:6" hidden="1" x14ac:dyDescent="0.3">
      <c r="A125" s="1" t="s">
        <v>107</v>
      </c>
      <c r="B125" s="1">
        <v>1068</v>
      </c>
      <c r="C125" s="1" t="s">
        <v>89</v>
      </c>
      <c r="D125" s="2">
        <v>868.89200000000005</v>
      </c>
      <c r="E125" s="2">
        <v>2.044</v>
      </c>
      <c r="F125" s="2">
        <v>-906.94200000000001</v>
      </c>
    </row>
    <row r="126" spans="1:6" hidden="1" x14ac:dyDescent="0.3">
      <c r="A126" s="1" t="s">
        <v>107</v>
      </c>
      <c r="B126" s="1">
        <v>1069</v>
      </c>
      <c r="C126" s="1" t="s">
        <v>89</v>
      </c>
      <c r="D126" s="2">
        <v>1102.79</v>
      </c>
      <c r="E126" s="2">
        <v>-35.247</v>
      </c>
      <c r="F126" s="2">
        <v>-757.06200000000001</v>
      </c>
    </row>
    <row r="127" spans="1:6" hidden="1" x14ac:dyDescent="0.3">
      <c r="A127" s="1" t="s">
        <v>107</v>
      </c>
      <c r="B127" s="1">
        <v>1075</v>
      </c>
      <c r="C127" s="1" t="s">
        <v>89</v>
      </c>
      <c r="D127" s="2">
        <v>316.303</v>
      </c>
      <c r="E127" s="2">
        <v>-1032.02</v>
      </c>
      <c r="F127" s="2">
        <v>-760.80100000000004</v>
      </c>
    </row>
    <row r="128" spans="1:6" hidden="1" x14ac:dyDescent="0.3">
      <c r="A128" s="1" t="s">
        <v>107</v>
      </c>
      <c r="B128" s="1">
        <v>1078</v>
      </c>
      <c r="C128" s="1" t="s">
        <v>89</v>
      </c>
      <c r="D128" s="2">
        <v>1200.2260000000001</v>
      </c>
      <c r="E128" s="2">
        <v>-36.921999999999997</v>
      </c>
      <c r="F128" s="2">
        <v>-708.87300000000005</v>
      </c>
    </row>
    <row r="129" spans="1:6" hidden="1" x14ac:dyDescent="0.3">
      <c r="A129" s="1" t="s">
        <v>107</v>
      </c>
      <c r="B129" s="1">
        <v>1093</v>
      </c>
      <c r="C129" s="1" t="s">
        <v>89</v>
      </c>
      <c r="D129" s="2">
        <v>275.84300000000002</v>
      </c>
      <c r="E129" s="2">
        <v>-1259.577</v>
      </c>
      <c r="F129" s="2">
        <v>-825.98900000000003</v>
      </c>
    </row>
    <row r="130" spans="1:6" hidden="1" x14ac:dyDescent="0.3">
      <c r="A130" s="1" t="s">
        <v>107</v>
      </c>
      <c r="B130" s="1">
        <v>1095</v>
      </c>
      <c r="C130" s="1" t="s">
        <v>89</v>
      </c>
      <c r="D130" s="2">
        <v>1155.617</v>
      </c>
      <c r="E130" s="2">
        <v>-38.457999999999998</v>
      </c>
      <c r="F130" s="2">
        <v>-709.12400000000002</v>
      </c>
    </row>
    <row r="131" spans="1:6" hidden="1" x14ac:dyDescent="0.3">
      <c r="A131" s="1" t="s">
        <v>107</v>
      </c>
      <c r="B131" s="1">
        <v>1099</v>
      </c>
      <c r="C131" s="1" t="s">
        <v>89</v>
      </c>
      <c r="D131" s="2">
        <v>395.16399999999999</v>
      </c>
      <c r="E131" s="2">
        <v>-129.286</v>
      </c>
      <c r="F131" s="2">
        <v>-1339.2339999999999</v>
      </c>
    </row>
    <row r="132" spans="1:6" hidden="1" x14ac:dyDescent="0.3">
      <c r="A132" s="1" t="s">
        <v>107</v>
      </c>
      <c r="B132" s="1">
        <v>1100</v>
      </c>
      <c r="C132" s="1" t="s">
        <v>89</v>
      </c>
      <c r="D132" s="2">
        <v>755.18499999999995</v>
      </c>
      <c r="E132" s="2">
        <v>-94.36</v>
      </c>
      <c r="F132" s="2">
        <v>-690.61199999999997</v>
      </c>
    </row>
    <row r="133" spans="1:6" hidden="1" x14ac:dyDescent="0.3">
      <c r="A133" s="1" t="s">
        <v>107</v>
      </c>
      <c r="B133" s="1">
        <v>1102</v>
      </c>
      <c r="C133" s="1" t="s">
        <v>89</v>
      </c>
      <c r="D133" s="2">
        <v>358.68400000000003</v>
      </c>
      <c r="E133" s="2">
        <v>-127.956</v>
      </c>
      <c r="F133" s="2">
        <v>-1371.654</v>
      </c>
    </row>
    <row r="134" spans="1:6" hidden="1" x14ac:dyDescent="0.3">
      <c r="A134" s="1" t="s">
        <v>107</v>
      </c>
      <c r="B134" s="1">
        <v>1105</v>
      </c>
      <c r="C134" s="1" t="s">
        <v>89</v>
      </c>
      <c r="D134" s="2">
        <v>1392.377</v>
      </c>
      <c r="E134" s="2">
        <v>-494.447</v>
      </c>
      <c r="F134" s="2">
        <v>-790.00300000000004</v>
      </c>
    </row>
    <row r="135" spans="1:6" hidden="1" x14ac:dyDescent="0.3">
      <c r="A135" s="1" t="s">
        <v>107</v>
      </c>
      <c r="B135" s="1">
        <v>1107</v>
      </c>
      <c r="C135" s="1" t="s">
        <v>89</v>
      </c>
      <c r="D135" s="2">
        <v>319.24700000000001</v>
      </c>
      <c r="E135" s="2">
        <v>-1064.3209999999999</v>
      </c>
      <c r="F135" s="2">
        <v>-775.91800000000001</v>
      </c>
    </row>
    <row r="136" spans="1:6" hidden="1" x14ac:dyDescent="0.3">
      <c r="A136" s="1" t="s">
        <v>107</v>
      </c>
      <c r="B136" s="1">
        <v>1109</v>
      </c>
      <c r="C136" s="1" t="s">
        <v>89</v>
      </c>
      <c r="D136" s="2">
        <v>1386.9559999999999</v>
      </c>
      <c r="E136" s="2">
        <v>-124.39100000000001</v>
      </c>
      <c r="F136" s="2">
        <v>-782.73199999999997</v>
      </c>
    </row>
    <row r="137" spans="1:6" hidden="1" x14ac:dyDescent="0.3">
      <c r="A137" s="1" t="s">
        <v>107</v>
      </c>
      <c r="B137" s="1">
        <v>1111</v>
      </c>
      <c r="C137" s="1" t="s">
        <v>89</v>
      </c>
      <c r="D137" s="2">
        <v>1237.25</v>
      </c>
      <c r="E137" s="2">
        <v>-957.69</v>
      </c>
      <c r="F137" s="2">
        <v>-933.34400000000005</v>
      </c>
    </row>
    <row r="138" spans="1:6" hidden="1" x14ac:dyDescent="0.3">
      <c r="A138" s="1" t="s">
        <v>107</v>
      </c>
      <c r="B138" s="1">
        <v>1112</v>
      </c>
      <c r="C138" s="1" t="s">
        <v>89</v>
      </c>
      <c r="D138" s="2">
        <v>551.18100000000004</v>
      </c>
      <c r="E138" s="2">
        <v>3.887</v>
      </c>
      <c r="F138" s="2">
        <v>239.11799999999999</v>
      </c>
    </row>
    <row r="139" spans="1:6" hidden="1" x14ac:dyDescent="0.3">
      <c r="A139" s="1" t="s">
        <v>107</v>
      </c>
      <c r="B139" s="1">
        <v>1115</v>
      </c>
      <c r="C139" s="1" t="s">
        <v>89</v>
      </c>
      <c r="D139" s="2">
        <v>1390.2059999999999</v>
      </c>
      <c r="E139" s="2">
        <v>-334.81599999999997</v>
      </c>
      <c r="F139" s="2">
        <v>-787.60500000000002</v>
      </c>
    </row>
    <row r="140" spans="1:6" hidden="1" x14ac:dyDescent="0.3">
      <c r="A140" s="1" t="s">
        <v>107</v>
      </c>
      <c r="B140" s="1">
        <v>1158</v>
      </c>
      <c r="C140" s="1" t="s">
        <v>89</v>
      </c>
      <c r="D140" s="2">
        <v>1384.3620000000001</v>
      </c>
      <c r="E140" s="2">
        <v>-505.90899999999999</v>
      </c>
      <c r="F140" s="2">
        <v>-796.22199999999998</v>
      </c>
    </row>
    <row r="141" spans="1:6" hidden="1" x14ac:dyDescent="0.3">
      <c r="A141" s="1" t="s">
        <v>107</v>
      </c>
      <c r="B141" s="1">
        <v>1159</v>
      </c>
      <c r="C141" s="1" t="s">
        <v>89</v>
      </c>
      <c r="D141" s="2">
        <v>983.06799999999998</v>
      </c>
      <c r="E141" s="2">
        <v>3.145</v>
      </c>
      <c r="F141" s="2">
        <v>-858.84199999999998</v>
      </c>
    </row>
    <row r="142" spans="1:6" hidden="1" x14ac:dyDescent="0.3">
      <c r="A142" s="1" t="s">
        <v>107</v>
      </c>
      <c r="B142" s="1">
        <v>1165</v>
      </c>
      <c r="C142" s="1" t="s">
        <v>89</v>
      </c>
      <c r="D142" s="2">
        <v>291.03699999999998</v>
      </c>
      <c r="E142" s="2">
        <v>1.8169999999999999</v>
      </c>
      <c r="F142" s="2">
        <v>178.15299999999999</v>
      </c>
    </row>
    <row r="143" spans="1:6" hidden="1" x14ac:dyDescent="0.3">
      <c r="A143" s="1" t="s">
        <v>107</v>
      </c>
      <c r="B143" s="1">
        <v>1175</v>
      </c>
      <c r="C143" s="1" t="s">
        <v>89</v>
      </c>
      <c r="D143" s="2">
        <v>1196.385</v>
      </c>
      <c r="E143" s="2">
        <v>-39.341999999999999</v>
      </c>
      <c r="F143" s="2">
        <v>-680.53200000000004</v>
      </c>
    </row>
    <row r="144" spans="1:6" hidden="1" x14ac:dyDescent="0.3">
      <c r="A144" s="1" t="s">
        <v>107</v>
      </c>
      <c r="B144" s="1">
        <v>1181</v>
      </c>
      <c r="C144" s="1" t="s">
        <v>89</v>
      </c>
      <c r="D144" s="2">
        <v>1387.039</v>
      </c>
      <c r="E144" s="2">
        <v>-897.29</v>
      </c>
      <c r="F144" s="2">
        <v>-786.30100000000004</v>
      </c>
    </row>
    <row r="145" spans="1:6" hidden="1" x14ac:dyDescent="0.3">
      <c r="A145" s="1" t="s">
        <v>107</v>
      </c>
      <c r="B145" s="1">
        <v>1183</v>
      </c>
      <c r="C145" s="1" t="s">
        <v>89</v>
      </c>
      <c r="D145" s="2">
        <v>1021.1369999999999</v>
      </c>
      <c r="E145" s="2">
        <v>5.54</v>
      </c>
      <c r="F145" s="2">
        <v>-857.58399999999995</v>
      </c>
    </row>
    <row r="146" spans="1:6" hidden="1" x14ac:dyDescent="0.3">
      <c r="A146" s="1" t="s">
        <v>107</v>
      </c>
      <c r="B146" s="1">
        <v>1197</v>
      </c>
      <c r="C146" s="1" t="s">
        <v>89</v>
      </c>
      <c r="D146" s="2">
        <v>1338.92</v>
      </c>
      <c r="E146" s="2">
        <v>-455.553</v>
      </c>
      <c r="F146" s="2">
        <v>-490.80799999999999</v>
      </c>
    </row>
    <row r="147" spans="1:6" hidden="1" x14ac:dyDescent="0.3">
      <c r="A147" s="1" t="s">
        <v>107</v>
      </c>
      <c r="B147" s="1">
        <v>1202</v>
      </c>
      <c r="C147" s="1" t="s">
        <v>89</v>
      </c>
      <c r="D147" s="2">
        <v>544.36699999999996</v>
      </c>
      <c r="E147" s="2">
        <v>-1351.492</v>
      </c>
      <c r="F147" s="2">
        <v>-822.51199999999994</v>
      </c>
    </row>
    <row r="148" spans="1:6" hidden="1" x14ac:dyDescent="0.3">
      <c r="A148" s="1" t="s">
        <v>107</v>
      </c>
      <c r="B148" s="1">
        <v>1205</v>
      </c>
      <c r="C148" s="1" t="s">
        <v>89</v>
      </c>
      <c r="D148" s="2">
        <v>548.39599999999996</v>
      </c>
      <c r="E148" s="2">
        <v>6.0750000000000002</v>
      </c>
      <c r="F148" s="2">
        <v>232.875</v>
      </c>
    </row>
    <row r="149" spans="1:6" hidden="1" x14ac:dyDescent="0.3">
      <c r="A149" s="1" t="s">
        <v>107</v>
      </c>
      <c r="B149" s="1">
        <v>1210</v>
      </c>
      <c r="C149" s="1" t="s">
        <v>89</v>
      </c>
      <c r="D149" s="2">
        <v>832.15800000000002</v>
      </c>
      <c r="E149" s="2">
        <v>-534.08199999999999</v>
      </c>
      <c r="F149" s="2">
        <v>42.56</v>
      </c>
    </row>
    <row r="150" spans="1:6" hidden="1" x14ac:dyDescent="0.3">
      <c r="A150" s="1" t="s">
        <v>107</v>
      </c>
      <c r="B150" s="1">
        <v>1217</v>
      </c>
      <c r="C150" s="1" t="s">
        <v>89</v>
      </c>
      <c r="D150" s="2">
        <v>1052.92</v>
      </c>
      <c r="E150" s="2">
        <v>10.409000000000001</v>
      </c>
      <c r="F150" s="2">
        <v>-879.59199999999998</v>
      </c>
    </row>
    <row r="151" spans="1:6" hidden="1" x14ac:dyDescent="0.3">
      <c r="A151" s="1" t="s">
        <v>107</v>
      </c>
      <c r="B151" s="1">
        <v>1222</v>
      </c>
      <c r="C151" s="1" t="s">
        <v>89</v>
      </c>
      <c r="D151" s="2">
        <v>-49.295000000000002</v>
      </c>
      <c r="E151" s="2">
        <v>-316.54000000000002</v>
      </c>
      <c r="F151" s="2">
        <v>-911.03899999999999</v>
      </c>
    </row>
    <row r="152" spans="1:6" hidden="1" x14ac:dyDescent="0.3">
      <c r="A152" s="1" t="s">
        <v>107</v>
      </c>
      <c r="B152" s="1">
        <v>1225</v>
      </c>
      <c r="C152" s="1" t="s">
        <v>89</v>
      </c>
      <c r="D152" s="2">
        <v>779.56399999999996</v>
      </c>
      <c r="E152" s="2">
        <v>-796.21199999999999</v>
      </c>
      <c r="F152" s="2">
        <v>64.034999999999997</v>
      </c>
    </row>
    <row r="153" spans="1:6" hidden="1" x14ac:dyDescent="0.3">
      <c r="A153" s="1" t="s">
        <v>107</v>
      </c>
      <c r="B153" s="1">
        <v>1228</v>
      </c>
      <c r="C153" s="1" t="s">
        <v>89</v>
      </c>
      <c r="D153" s="2">
        <v>550.49900000000002</v>
      </c>
      <c r="E153" s="2">
        <v>-321.46699999999998</v>
      </c>
      <c r="F153" s="2">
        <v>-1013.908</v>
      </c>
    </row>
    <row r="154" spans="1:6" hidden="1" x14ac:dyDescent="0.3">
      <c r="A154" s="1" t="s">
        <v>107</v>
      </c>
      <c r="B154" s="1">
        <v>1229</v>
      </c>
      <c r="C154" s="1" t="s">
        <v>89</v>
      </c>
      <c r="D154" s="2">
        <v>929.17600000000004</v>
      </c>
      <c r="E154" s="2">
        <v>-34.795000000000002</v>
      </c>
      <c r="F154" s="2">
        <v>-929.89800000000002</v>
      </c>
    </row>
    <row r="155" spans="1:6" hidden="1" x14ac:dyDescent="0.3">
      <c r="A155" s="1" t="s">
        <v>107</v>
      </c>
      <c r="B155" s="1">
        <v>1230</v>
      </c>
      <c r="C155" s="1" t="s">
        <v>89</v>
      </c>
      <c r="D155" s="2">
        <v>338.84399999999999</v>
      </c>
      <c r="E155" s="2">
        <v>-4.9320000000000004</v>
      </c>
      <c r="F155" s="2">
        <v>104.294</v>
      </c>
    </row>
    <row r="156" spans="1:6" hidden="1" x14ac:dyDescent="0.3">
      <c r="A156" s="1" t="s">
        <v>107</v>
      </c>
      <c r="B156" s="1">
        <v>1231</v>
      </c>
      <c r="C156" s="1" t="s">
        <v>89</v>
      </c>
      <c r="D156" s="2">
        <v>354.78399999999999</v>
      </c>
      <c r="E156" s="2">
        <v>-1044.5650000000001</v>
      </c>
      <c r="F156" s="2">
        <v>-757.48800000000006</v>
      </c>
    </row>
    <row r="157" spans="1:6" hidden="1" x14ac:dyDescent="0.3">
      <c r="A157" s="1" t="s">
        <v>107</v>
      </c>
      <c r="B157" s="1">
        <v>1232</v>
      </c>
      <c r="C157" s="1" t="s">
        <v>89</v>
      </c>
      <c r="D157" s="2">
        <v>349.697</v>
      </c>
      <c r="E157" s="2">
        <v>-1047.0150000000001</v>
      </c>
      <c r="F157" s="2">
        <v>-762.95100000000002</v>
      </c>
    </row>
    <row r="158" spans="1:6" x14ac:dyDescent="0.3">
      <c r="A158" s="1" t="s">
        <v>106</v>
      </c>
      <c r="B158" s="1">
        <v>1008</v>
      </c>
      <c r="C158" s="1" t="s">
        <v>78</v>
      </c>
      <c r="D158" s="2">
        <v>-115.538</v>
      </c>
      <c r="E158" s="2">
        <v>-50.825000000000003</v>
      </c>
      <c r="F158" s="2">
        <v>-283.14</v>
      </c>
    </row>
    <row r="159" spans="1:6" x14ac:dyDescent="0.3">
      <c r="A159" s="1" t="s">
        <v>106</v>
      </c>
      <c r="B159" s="1">
        <v>501</v>
      </c>
      <c r="C159" s="1" t="s">
        <v>94</v>
      </c>
      <c r="D159" s="2">
        <v>8.5000000000000006E-2</v>
      </c>
      <c r="E159" s="2">
        <v>0.67200000000000004</v>
      </c>
      <c r="F159" s="2">
        <v>-0.309</v>
      </c>
    </row>
    <row r="160" spans="1:6" x14ac:dyDescent="0.3">
      <c r="A160" s="1" t="s">
        <v>106</v>
      </c>
      <c r="B160" s="1">
        <v>503</v>
      </c>
      <c r="C160" s="1" t="s">
        <v>95</v>
      </c>
      <c r="D160" s="2">
        <v>170.77699999999999</v>
      </c>
      <c r="E160" s="2">
        <v>-3.7999999999999999E-2</v>
      </c>
      <c r="F160" s="2">
        <v>-1.27</v>
      </c>
    </row>
    <row r="161" spans="1:6" x14ac:dyDescent="0.3">
      <c r="A161" s="1" t="s">
        <v>106</v>
      </c>
      <c r="B161" s="1">
        <v>504</v>
      </c>
      <c r="C161" s="1" t="s">
        <v>87</v>
      </c>
      <c r="D161" s="2">
        <v>346.53</v>
      </c>
      <c r="E161" s="2">
        <v>0.40200000000000002</v>
      </c>
      <c r="F161" s="2">
        <v>-0.26900000000000002</v>
      </c>
    </row>
    <row r="162" spans="1:6" x14ac:dyDescent="0.3">
      <c r="A162" s="1" t="s">
        <v>106</v>
      </c>
      <c r="B162" s="1">
        <v>505</v>
      </c>
      <c r="C162" s="1" t="s">
        <v>96</v>
      </c>
      <c r="D162" s="2">
        <v>169.94800000000001</v>
      </c>
      <c r="E162" s="2">
        <v>0.48299999999999998</v>
      </c>
      <c r="F162" s="2">
        <v>174.83199999999999</v>
      </c>
    </row>
    <row r="163" spans="1:6" x14ac:dyDescent="0.3">
      <c r="A163" s="1" t="s">
        <v>106</v>
      </c>
      <c r="B163" s="1">
        <v>116</v>
      </c>
      <c r="C163" s="1" t="s">
        <v>81</v>
      </c>
      <c r="D163" s="2">
        <v>1011.271</v>
      </c>
      <c r="E163" s="2">
        <v>-626.67700000000002</v>
      </c>
      <c r="F163" s="2">
        <v>-1135.175</v>
      </c>
    </row>
    <row r="164" spans="1:6" x14ac:dyDescent="0.3">
      <c r="A164" s="1" t="s">
        <v>106</v>
      </c>
      <c r="B164" s="1">
        <v>121</v>
      </c>
      <c r="C164" s="1" t="s">
        <v>93</v>
      </c>
      <c r="D164" s="2">
        <v>635.34199999999998</v>
      </c>
      <c r="E164" s="2">
        <v>-99.668000000000006</v>
      </c>
      <c r="F164" s="2">
        <v>96.024000000000001</v>
      </c>
    </row>
    <row r="165" spans="1:6" x14ac:dyDescent="0.3">
      <c r="A165" s="1" t="s">
        <v>106</v>
      </c>
      <c r="B165" s="1">
        <v>13</v>
      </c>
      <c r="C165" s="1" t="s">
        <v>80</v>
      </c>
      <c r="D165" s="2">
        <v>279.892</v>
      </c>
      <c r="E165" s="2">
        <v>3.6779999999999999</v>
      </c>
      <c r="F165" s="2">
        <v>200.542</v>
      </c>
    </row>
    <row r="166" spans="1:6" x14ac:dyDescent="0.3">
      <c r="A166" s="1" t="s">
        <v>106</v>
      </c>
      <c r="B166" s="1">
        <v>34</v>
      </c>
      <c r="C166" s="1" t="s">
        <v>74</v>
      </c>
      <c r="D166" s="2">
        <v>757.74699999999996</v>
      </c>
      <c r="E166" s="2">
        <v>-95.62</v>
      </c>
      <c r="F166" s="2">
        <v>-665.85400000000004</v>
      </c>
    </row>
    <row r="167" spans="1:6" x14ac:dyDescent="0.3">
      <c r="A167" s="1" t="s">
        <v>106</v>
      </c>
      <c r="B167" s="1">
        <v>37</v>
      </c>
      <c r="C167" s="1" t="s">
        <v>79</v>
      </c>
      <c r="D167" s="2">
        <v>33.308999999999997</v>
      </c>
      <c r="E167" s="2">
        <v>-98.590999999999994</v>
      </c>
      <c r="F167" s="2">
        <v>-390.87799999999999</v>
      </c>
    </row>
    <row r="168" spans="1:6" x14ac:dyDescent="0.3">
      <c r="A168" s="1" t="s">
        <v>106</v>
      </c>
      <c r="B168" s="1">
        <v>4</v>
      </c>
      <c r="C168" s="1" t="s">
        <v>88</v>
      </c>
      <c r="D168" s="2">
        <v>1045.181</v>
      </c>
      <c r="E168" s="2">
        <v>-514.24400000000003</v>
      </c>
      <c r="F168" s="2">
        <v>-1105.1279999999999</v>
      </c>
    </row>
    <row r="169" spans="1:6" x14ac:dyDescent="0.3">
      <c r="A169" s="1" t="s">
        <v>106</v>
      </c>
      <c r="B169" s="1">
        <v>42</v>
      </c>
      <c r="C169" s="1" t="s">
        <v>90</v>
      </c>
      <c r="D169" s="2">
        <v>1083.1510000000001</v>
      </c>
      <c r="E169" s="2">
        <v>-97.736999999999995</v>
      </c>
      <c r="F169" s="2">
        <v>-356.60300000000001</v>
      </c>
    </row>
    <row r="170" spans="1:6" x14ac:dyDescent="0.3">
      <c r="A170" s="1" t="s">
        <v>106</v>
      </c>
      <c r="B170" s="1">
        <v>506</v>
      </c>
      <c r="C170" s="1" t="s">
        <v>82</v>
      </c>
      <c r="D170" s="2">
        <v>1148.463</v>
      </c>
      <c r="E170" s="2">
        <v>-24.542000000000002</v>
      </c>
      <c r="F170" s="2">
        <v>-460.71100000000001</v>
      </c>
    </row>
    <row r="171" spans="1:6" x14ac:dyDescent="0.3">
      <c r="A171" s="1" t="s">
        <v>106</v>
      </c>
      <c r="B171" s="1">
        <v>507</v>
      </c>
      <c r="C171" s="1" t="s">
        <v>83</v>
      </c>
      <c r="D171" s="2">
        <v>676.65599999999995</v>
      </c>
      <c r="E171" s="2">
        <v>-28.683</v>
      </c>
      <c r="F171" s="2">
        <v>-1094.057</v>
      </c>
    </row>
    <row r="172" spans="1:6" x14ac:dyDescent="0.3">
      <c r="A172" s="1" t="s">
        <v>106</v>
      </c>
      <c r="B172" s="1">
        <v>509</v>
      </c>
      <c r="C172" s="1" t="s">
        <v>97</v>
      </c>
      <c r="D172" s="2">
        <v>487.75099999999998</v>
      </c>
      <c r="E172" s="2">
        <v>-400.74</v>
      </c>
      <c r="F172" s="2">
        <v>439.70100000000002</v>
      </c>
    </row>
    <row r="173" spans="1:6" x14ac:dyDescent="0.3">
      <c r="A173" s="1" t="s">
        <v>106</v>
      </c>
      <c r="B173" s="1">
        <v>57</v>
      </c>
      <c r="C173" s="1" t="s">
        <v>91</v>
      </c>
      <c r="D173" s="2">
        <v>381.60700000000003</v>
      </c>
      <c r="E173" s="2">
        <v>-99.135000000000005</v>
      </c>
      <c r="F173" s="2">
        <v>-132.245</v>
      </c>
    </row>
    <row r="174" spans="1:6" x14ac:dyDescent="0.3">
      <c r="A174" s="1" t="s">
        <v>106</v>
      </c>
      <c r="B174" s="1">
        <v>87</v>
      </c>
      <c r="C174" s="1" t="s">
        <v>86</v>
      </c>
      <c r="D174" s="2">
        <v>1197.931</v>
      </c>
      <c r="E174" s="2">
        <v>-632.94000000000005</v>
      </c>
      <c r="F174" s="2">
        <v>-975.21799999999996</v>
      </c>
    </row>
    <row r="175" spans="1:6" x14ac:dyDescent="0.3">
      <c r="A175" s="1" t="s">
        <v>106</v>
      </c>
      <c r="B175" s="1">
        <v>92</v>
      </c>
      <c r="C175" s="1" t="s">
        <v>92</v>
      </c>
      <c r="D175" s="2">
        <v>532.50900000000001</v>
      </c>
      <c r="E175" s="2">
        <v>-95.275000000000006</v>
      </c>
      <c r="F175" s="2">
        <v>-862.375</v>
      </c>
    </row>
    <row r="176" spans="1:6" x14ac:dyDescent="0.3">
      <c r="A176" s="1" t="s">
        <v>106</v>
      </c>
      <c r="B176" s="1">
        <v>96</v>
      </c>
      <c r="C176" s="1" t="s">
        <v>84</v>
      </c>
      <c r="D176" s="2">
        <v>424.733</v>
      </c>
      <c r="E176" s="2">
        <v>3.5920000000000001</v>
      </c>
      <c r="F176" s="2">
        <v>303.79300000000001</v>
      </c>
    </row>
    <row r="177" spans="1:6" x14ac:dyDescent="0.3">
      <c r="A177" s="1" t="s">
        <v>107</v>
      </c>
      <c r="B177" s="1">
        <v>1006</v>
      </c>
      <c r="C177" s="1" t="s">
        <v>75</v>
      </c>
      <c r="D177" s="2">
        <v>575.61900000000003</v>
      </c>
      <c r="E177" s="2">
        <v>-53.328000000000003</v>
      </c>
      <c r="F177" s="2">
        <v>347.63600000000002</v>
      </c>
    </row>
    <row r="178" spans="1:6" x14ac:dyDescent="0.3">
      <c r="A178" s="1" t="s">
        <v>107</v>
      </c>
      <c r="B178" s="1">
        <v>1019</v>
      </c>
      <c r="C178" s="1" t="s">
        <v>76</v>
      </c>
      <c r="D178" s="2">
        <v>1296.748</v>
      </c>
      <c r="E178" s="2">
        <v>-46.201999999999998</v>
      </c>
      <c r="F178" s="2">
        <v>-489.10899999999998</v>
      </c>
    </row>
    <row r="179" spans="1:6" x14ac:dyDescent="0.3">
      <c r="A179" s="1" t="s">
        <v>107</v>
      </c>
      <c r="B179" s="1">
        <v>1033</v>
      </c>
      <c r="C179" s="1" t="s">
        <v>77</v>
      </c>
      <c r="D179" s="2">
        <v>604.67499999999995</v>
      </c>
      <c r="E179" s="2">
        <v>-44.378</v>
      </c>
      <c r="F179" s="2">
        <v>-1114.771</v>
      </c>
    </row>
    <row r="180" spans="1:6" x14ac:dyDescent="0.3">
      <c r="A180" s="1" t="s">
        <v>107</v>
      </c>
      <c r="B180" s="1">
        <v>1007</v>
      </c>
      <c r="C180" s="1" t="s">
        <v>78</v>
      </c>
      <c r="D180" s="2">
        <v>-115.661</v>
      </c>
      <c r="E180" s="2">
        <v>-51.561</v>
      </c>
      <c r="F180" s="2">
        <v>-282.916</v>
      </c>
    </row>
    <row r="181" spans="1:6" x14ac:dyDescent="0.3">
      <c r="A181" s="1" t="s">
        <v>107</v>
      </c>
      <c r="B181" s="1">
        <v>501</v>
      </c>
      <c r="C181" s="1" t="s">
        <v>94</v>
      </c>
      <c r="D181" s="2">
        <v>-0.16</v>
      </c>
      <c r="E181" s="2">
        <v>-0.27300000000000002</v>
      </c>
      <c r="F181" s="2">
        <v>3.6999999999999998E-2</v>
      </c>
    </row>
    <row r="182" spans="1:6" x14ac:dyDescent="0.3">
      <c r="A182" s="1" t="s">
        <v>107</v>
      </c>
      <c r="B182" s="1">
        <v>502</v>
      </c>
      <c r="C182" s="1" t="s">
        <v>85</v>
      </c>
      <c r="D182" s="2">
        <v>172.02500000000001</v>
      </c>
      <c r="E182" s="2">
        <v>0.19</v>
      </c>
      <c r="F182" s="2">
        <v>-175.24600000000001</v>
      </c>
    </row>
    <row r="183" spans="1:6" x14ac:dyDescent="0.3">
      <c r="A183" s="1" t="s">
        <v>107</v>
      </c>
      <c r="B183" s="1">
        <v>503</v>
      </c>
      <c r="C183" s="1" t="s">
        <v>95</v>
      </c>
      <c r="D183" s="2">
        <v>170.566</v>
      </c>
      <c r="E183" s="2">
        <v>-0.67100000000000004</v>
      </c>
      <c r="F183" s="2">
        <v>-0.92200000000000004</v>
      </c>
    </row>
    <row r="184" spans="1:6" x14ac:dyDescent="0.3">
      <c r="A184" s="1" t="s">
        <v>107</v>
      </c>
      <c r="B184" s="1">
        <v>504</v>
      </c>
      <c r="C184" s="1" t="s">
        <v>87</v>
      </c>
      <c r="D184" s="2">
        <v>346.34699999999998</v>
      </c>
      <c r="E184" s="2">
        <v>7.3999999999999996E-2</v>
      </c>
      <c r="F184" s="2">
        <v>0.10100000000000001</v>
      </c>
    </row>
    <row r="185" spans="1:6" x14ac:dyDescent="0.3">
      <c r="A185" s="1" t="s">
        <v>107</v>
      </c>
      <c r="B185" s="1">
        <v>505</v>
      </c>
      <c r="C185" s="1" t="s">
        <v>96</v>
      </c>
      <c r="D185" s="2">
        <v>169.715</v>
      </c>
      <c r="E185" s="2">
        <v>-0.317</v>
      </c>
      <c r="F185" s="2">
        <v>175.22800000000001</v>
      </c>
    </row>
    <row r="186" spans="1:6" x14ac:dyDescent="0.3">
      <c r="A186" s="1" t="s">
        <v>107</v>
      </c>
      <c r="B186" s="1">
        <v>116</v>
      </c>
      <c r="C186" s="1" t="s">
        <v>81</v>
      </c>
      <c r="D186" s="2">
        <v>1012.2089999999999</v>
      </c>
      <c r="E186" s="2">
        <v>-624.31600000000003</v>
      </c>
      <c r="F186" s="2">
        <v>-1135.807</v>
      </c>
    </row>
    <row r="187" spans="1:6" x14ac:dyDescent="0.3">
      <c r="A187" s="1" t="s">
        <v>107</v>
      </c>
      <c r="B187" s="1">
        <v>121</v>
      </c>
      <c r="C187" s="1" t="s">
        <v>93</v>
      </c>
      <c r="D187" s="2">
        <v>635.35400000000004</v>
      </c>
      <c r="E187" s="2">
        <v>-99.731999999999999</v>
      </c>
      <c r="F187" s="2">
        <v>96.275999999999996</v>
      </c>
    </row>
    <row r="188" spans="1:6" x14ac:dyDescent="0.3">
      <c r="A188" s="1" t="s">
        <v>107</v>
      </c>
      <c r="B188" s="1">
        <v>13</v>
      </c>
      <c r="C188" s="1" t="s">
        <v>80</v>
      </c>
      <c r="D188" s="2">
        <v>279.67599999999999</v>
      </c>
      <c r="E188" s="2">
        <v>2.9929999999999999</v>
      </c>
      <c r="F188" s="2">
        <v>200.958</v>
      </c>
    </row>
    <row r="189" spans="1:6" x14ac:dyDescent="0.3">
      <c r="A189" s="1" t="s">
        <v>107</v>
      </c>
      <c r="B189" s="1">
        <v>34</v>
      </c>
      <c r="C189" s="1" t="s">
        <v>74</v>
      </c>
      <c r="D189" s="2">
        <v>757.76700000000005</v>
      </c>
      <c r="E189" s="2">
        <v>-94.466999999999999</v>
      </c>
      <c r="F189" s="2">
        <v>-665.64700000000005</v>
      </c>
    </row>
    <row r="190" spans="1:6" x14ac:dyDescent="0.3">
      <c r="A190" s="1" t="s">
        <v>107</v>
      </c>
      <c r="B190" s="1">
        <v>37</v>
      </c>
      <c r="C190" s="1" t="s">
        <v>79</v>
      </c>
      <c r="D190" s="2">
        <v>33.274999999999999</v>
      </c>
      <c r="E190" s="2">
        <v>-98.884</v>
      </c>
      <c r="F190" s="2">
        <v>-390.71300000000002</v>
      </c>
    </row>
    <row r="191" spans="1:6" x14ac:dyDescent="0.3">
      <c r="A191" s="1" t="s">
        <v>107</v>
      </c>
      <c r="B191" s="1">
        <v>4</v>
      </c>
      <c r="C191" s="1" t="s">
        <v>88</v>
      </c>
      <c r="D191" s="2">
        <v>1045.8520000000001</v>
      </c>
      <c r="E191" s="2">
        <v>-512.04</v>
      </c>
      <c r="F191" s="2">
        <v>-1105.4929999999999</v>
      </c>
    </row>
    <row r="192" spans="1:6" x14ac:dyDescent="0.3">
      <c r="A192" s="1" t="s">
        <v>107</v>
      </c>
      <c r="B192" s="1">
        <v>42</v>
      </c>
      <c r="C192" s="1" t="s">
        <v>90</v>
      </c>
      <c r="D192" s="2">
        <v>1083.2</v>
      </c>
      <c r="E192" s="2">
        <v>-96.497</v>
      </c>
      <c r="F192" s="2">
        <v>-356.399</v>
      </c>
    </row>
    <row r="193" spans="1:6" hidden="1" x14ac:dyDescent="0.3">
      <c r="A193" s="1" t="s">
        <v>102</v>
      </c>
      <c r="B193" s="1">
        <v>1001</v>
      </c>
      <c r="C193" s="1" t="s">
        <v>89</v>
      </c>
      <c r="D193" s="2">
        <v>510.73</v>
      </c>
      <c r="E193" s="2">
        <v>-410.56599999999997</v>
      </c>
      <c r="F193" s="2">
        <v>413.57400000000001</v>
      </c>
    </row>
    <row r="194" spans="1:6" hidden="1" x14ac:dyDescent="0.3">
      <c r="A194" s="1" t="s">
        <v>102</v>
      </c>
      <c r="B194" s="1">
        <v>1005</v>
      </c>
      <c r="C194" s="1" t="s">
        <v>89</v>
      </c>
      <c r="D194" s="2">
        <v>262.82100000000003</v>
      </c>
      <c r="E194" s="2">
        <v>-10.239000000000001</v>
      </c>
      <c r="F194" s="2">
        <v>39.103999999999999</v>
      </c>
    </row>
    <row r="195" spans="1:6" hidden="1" x14ac:dyDescent="0.3">
      <c r="A195" s="1" t="s">
        <v>102</v>
      </c>
      <c r="B195" s="1">
        <v>1006</v>
      </c>
      <c r="C195" s="1" t="s">
        <v>89</v>
      </c>
      <c r="D195" s="2">
        <v>248.191</v>
      </c>
      <c r="E195" s="2">
        <v>-270.637</v>
      </c>
      <c r="F195" s="2">
        <v>-354.89100000000002</v>
      </c>
    </row>
    <row r="196" spans="1:6" hidden="1" x14ac:dyDescent="0.3">
      <c r="A196" s="1" t="s">
        <v>102</v>
      </c>
      <c r="B196" s="1">
        <v>1008</v>
      </c>
      <c r="C196" s="1" t="s">
        <v>89</v>
      </c>
      <c r="D196" s="2">
        <v>698.25</v>
      </c>
      <c r="E196" s="2">
        <v>-29.687999999999999</v>
      </c>
      <c r="F196" s="2">
        <v>-1063.702</v>
      </c>
    </row>
    <row r="197" spans="1:6" hidden="1" x14ac:dyDescent="0.3">
      <c r="A197" s="1" t="s">
        <v>102</v>
      </c>
      <c r="B197" s="1">
        <v>1009</v>
      </c>
      <c r="C197" s="1" t="s">
        <v>89</v>
      </c>
      <c r="D197" s="2">
        <v>1198.4190000000001</v>
      </c>
      <c r="E197" s="2">
        <v>-654.31299999999999</v>
      </c>
      <c r="F197" s="2">
        <v>-973.94</v>
      </c>
    </row>
    <row r="198" spans="1:6" hidden="1" x14ac:dyDescent="0.3">
      <c r="A198" s="1" t="s">
        <v>102</v>
      </c>
      <c r="B198" s="1">
        <v>1010</v>
      </c>
      <c r="C198" s="1" t="s">
        <v>89</v>
      </c>
      <c r="D198" s="2">
        <v>777.72</v>
      </c>
      <c r="E198" s="2">
        <v>-797.76</v>
      </c>
      <c r="F198" s="2">
        <v>65.77</v>
      </c>
    </row>
    <row r="199" spans="1:6" hidden="1" x14ac:dyDescent="0.3">
      <c r="A199" s="1" t="s">
        <v>102</v>
      </c>
      <c r="B199" s="1">
        <v>1011</v>
      </c>
      <c r="C199" s="1" t="s">
        <v>89</v>
      </c>
      <c r="D199" s="2">
        <v>1125.8679999999999</v>
      </c>
      <c r="E199" s="2">
        <v>-25.76</v>
      </c>
      <c r="F199" s="2">
        <v>-489.63900000000001</v>
      </c>
    </row>
    <row r="200" spans="1:6" hidden="1" x14ac:dyDescent="0.3">
      <c r="A200" s="1" t="s">
        <v>102</v>
      </c>
      <c r="B200" s="1">
        <v>1016</v>
      </c>
      <c r="C200" s="1" t="s">
        <v>89</v>
      </c>
      <c r="D200" s="2">
        <v>495.69400000000002</v>
      </c>
      <c r="E200" s="2">
        <v>-269.12200000000001</v>
      </c>
      <c r="F200" s="2">
        <v>-642.226</v>
      </c>
    </row>
    <row r="201" spans="1:6" hidden="1" x14ac:dyDescent="0.3">
      <c r="A201" s="1" t="s">
        <v>102</v>
      </c>
      <c r="B201" s="1">
        <v>1019</v>
      </c>
      <c r="C201" s="1" t="s">
        <v>89</v>
      </c>
      <c r="D201" s="2">
        <v>1155.1500000000001</v>
      </c>
      <c r="E201" s="2">
        <v>-41.372999999999998</v>
      </c>
      <c r="F201" s="2">
        <v>-708.65099999999995</v>
      </c>
    </row>
    <row r="202" spans="1:6" hidden="1" x14ac:dyDescent="0.3">
      <c r="A202" s="1" t="s">
        <v>102</v>
      </c>
      <c r="B202" s="1">
        <v>1020</v>
      </c>
      <c r="C202" s="1" t="s">
        <v>89</v>
      </c>
      <c r="D202" s="2">
        <v>1041.3820000000001</v>
      </c>
      <c r="E202" s="2">
        <v>-39.737000000000002</v>
      </c>
      <c r="F202" s="2">
        <v>-809.11599999999999</v>
      </c>
    </row>
    <row r="203" spans="1:6" hidden="1" x14ac:dyDescent="0.3">
      <c r="A203" s="1" t="s">
        <v>102</v>
      </c>
      <c r="B203" s="1">
        <v>1021</v>
      </c>
      <c r="C203" s="1" t="s">
        <v>89</v>
      </c>
      <c r="D203" s="2">
        <v>448.60899999999998</v>
      </c>
      <c r="E203" s="2">
        <v>2.9</v>
      </c>
      <c r="F203" s="2">
        <v>309.91199999999998</v>
      </c>
    </row>
    <row r="204" spans="1:6" hidden="1" x14ac:dyDescent="0.3">
      <c r="A204" s="1" t="s">
        <v>102</v>
      </c>
      <c r="B204" s="1">
        <v>1027</v>
      </c>
      <c r="C204" s="1" t="s">
        <v>89</v>
      </c>
      <c r="D204" s="2">
        <v>420.09899999999999</v>
      </c>
      <c r="E204" s="2">
        <v>-896.53800000000001</v>
      </c>
      <c r="F204" s="2">
        <v>-626.99199999999996</v>
      </c>
    </row>
    <row r="205" spans="1:6" hidden="1" x14ac:dyDescent="0.3">
      <c r="A205" s="1" t="s">
        <v>102</v>
      </c>
      <c r="B205" s="1">
        <v>1030</v>
      </c>
      <c r="C205" s="1" t="s">
        <v>89</v>
      </c>
      <c r="D205" s="2">
        <v>356.67399999999998</v>
      </c>
      <c r="E205" s="2">
        <v>-100.185</v>
      </c>
      <c r="F205" s="2">
        <v>-128.27699999999999</v>
      </c>
    </row>
    <row r="206" spans="1:6" hidden="1" x14ac:dyDescent="0.3">
      <c r="A206" s="1" t="s">
        <v>102</v>
      </c>
      <c r="B206" s="1">
        <v>1032</v>
      </c>
      <c r="C206" s="1" t="s">
        <v>89</v>
      </c>
      <c r="D206" s="2">
        <v>72.578999999999994</v>
      </c>
      <c r="E206" s="2">
        <v>-338.72</v>
      </c>
      <c r="F206" s="2">
        <v>-352.48700000000002</v>
      </c>
    </row>
    <row r="207" spans="1:6" hidden="1" x14ac:dyDescent="0.3">
      <c r="A207" s="1" t="s">
        <v>102</v>
      </c>
      <c r="B207" s="1">
        <v>1035</v>
      </c>
      <c r="C207" s="1" t="s">
        <v>89</v>
      </c>
      <c r="D207" s="2">
        <v>1100.9749999999999</v>
      </c>
      <c r="E207" s="2">
        <v>-41.350999999999999</v>
      </c>
      <c r="F207" s="2">
        <v>-755.50699999999995</v>
      </c>
    </row>
    <row r="208" spans="1:6" hidden="1" x14ac:dyDescent="0.3">
      <c r="A208" s="1" t="s">
        <v>102</v>
      </c>
      <c r="B208" s="1">
        <v>1036</v>
      </c>
      <c r="C208" s="1" t="s">
        <v>89</v>
      </c>
      <c r="D208" s="2">
        <v>1345.606</v>
      </c>
      <c r="E208" s="2">
        <v>-728.23900000000003</v>
      </c>
      <c r="F208" s="2">
        <v>-552.36099999999999</v>
      </c>
    </row>
    <row r="209" spans="1:6" hidden="1" x14ac:dyDescent="0.3">
      <c r="A209" s="1" t="s">
        <v>102</v>
      </c>
      <c r="B209" s="1">
        <v>1038</v>
      </c>
      <c r="C209" s="1" t="s">
        <v>89</v>
      </c>
      <c r="D209" s="2">
        <v>8.5920000000000005</v>
      </c>
      <c r="E209" s="2">
        <v>-100.116</v>
      </c>
      <c r="F209" s="2">
        <v>-384.99</v>
      </c>
    </row>
    <row r="210" spans="1:6" hidden="1" x14ac:dyDescent="0.3">
      <c r="A210" s="1" t="s">
        <v>102</v>
      </c>
      <c r="B210" s="1">
        <v>1041</v>
      </c>
      <c r="C210" s="1" t="s">
        <v>89</v>
      </c>
      <c r="D210" s="2">
        <v>178.27</v>
      </c>
      <c r="E210" s="2">
        <v>-577.60299999999995</v>
      </c>
      <c r="F210" s="2">
        <v>-580.83500000000004</v>
      </c>
    </row>
    <row r="211" spans="1:6" hidden="1" x14ac:dyDescent="0.3">
      <c r="A211" s="1" t="s">
        <v>102</v>
      </c>
      <c r="B211" s="1">
        <v>1048</v>
      </c>
      <c r="C211" s="1" t="s">
        <v>89</v>
      </c>
      <c r="D211" s="2">
        <v>1004.554</v>
      </c>
      <c r="E211" s="2">
        <v>2.7320000000000002</v>
      </c>
      <c r="F211" s="2">
        <v>-838.46</v>
      </c>
    </row>
    <row r="212" spans="1:6" hidden="1" x14ac:dyDescent="0.3">
      <c r="A212" s="1" t="s">
        <v>102</v>
      </c>
      <c r="B212" s="1">
        <v>1049</v>
      </c>
      <c r="C212" s="1" t="s">
        <v>89</v>
      </c>
      <c r="D212" s="2">
        <v>1070.0920000000001</v>
      </c>
      <c r="E212" s="2">
        <v>-46.381999999999998</v>
      </c>
      <c r="F212" s="2">
        <v>-809.78</v>
      </c>
    </row>
    <row r="213" spans="1:6" hidden="1" x14ac:dyDescent="0.3">
      <c r="A213" s="1" t="s">
        <v>102</v>
      </c>
      <c r="B213" s="1">
        <v>1051</v>
      </c>
      <c r="C213" s="1" t="s">
        <v>89</v>
      </c>
      <c r="D213" s="2">
        <v>1082.0840000000001</v>
      </c>
      <c r="E213" s="2">
        <v>-98.331000000000003</v>
      </c>
      <c r="F213" s="2">
        <v>-380.60300000000001</v>
      </c>
    </row>
    <row r="214" spans="1:6" hidden="1" x14ac:dyDescent="0.3">
      <c r="A214" s="1" t="s">
        <v>102</v>
      </c>
      <c r="B214" s="1">
        <v>1052</v>
      </c>
      <c r="C214" s="1" t="s">
        <v>89</v>
      </c>
      <c r="D214" s="2">
        <v>1139.635</v>
      </c>
      <c r="E214" s="2">
        <v>-278.791</v>
      </c>
      <c r="F214" s="2">
        <v>-1015.886</v>
      </c>
    </row>
    <row r="215" spans="1:6" hidden="1" x14ac:dyDescent="0.3">
      <c r="A215" s="1" t="s">
        <v>102</v>
      </c>
      <c r="B215" s="1">
        <v>1055</v>
      </c>
      <c r="C215" s="1" t="s">
        <v>89</v>
      </c>
      <c r="D215" s="2">
        <v>1383.867</v>
      </c>
      <c r="E215" s="2">
        <v>-128.81100000000001</v>
      </c>
      <c r="F215" s="2">
        <v>-779.471</v>
      </c>
    </row>
    <row r="216" spans="1:6" hidden="1" x14ac:dyDescent="0.3">
      <c r="A216" s="1" t="s">
        <v>102</v>
      </c>
      <c r="B216" s="1">
        <v>1056</v>
      </c>
      <c r="C216" s="1" t="s">
        <v>89</v>
      </c>
      <c r="D216" s="2">
        <v>1005.592</v>
      </c>
      <c r="E216" s="2">
        <v>-826.23699999999997</v>
      </c>
      <c r="F216" s="2">
        <v>-1084.01</v>
      </c>
    </row>
    <row r="217" spans="1:6" hidden="1" x14ac:dyDescent="0.3">
      <c r="A217" s="1" t="s">
        <v>102</v>
      </c>
      <c r="B217" s="1">
        <v>1058</v>
      </c>
      <c r="C217" s="1" t="s">
        <v>89</v>
      </c>
      <c r="D217" s="2">
        <v>982.70699999999999</v>
      </c>
      <c r="E217" s="2">
        <v>1.0229999999999999</v>
      </c>
      <c r="F217" s="2">
        <v>-858.39700000000005</v>
      </c>
    </row>
    <row r="218" spans="1:6" hidden="1" x14ac:dyDescent="0.3">
      <c r="A218" s="1" t="s">
        <v>102</v>
      </c>
      <c r="B218" s="1">
        <v>1059</v>
      </c>
      <c r="C218" s="1" t="s">
        <v>89</v>
      </c>
      <c r="D218" s="2">
        <v>526.71100000000001</v>
      </c>
      <c r="E218" s="2">
        <v>-144.55500000000001</v>
      </c>
      <c r="F218" s="2">
        <v>-1280.5809999999999</v>
      </c>
    </row>
    <row r="219" spans="1:6" hidden="1" x14ac:dyDescent="0.3">
      <c r="A219" s="1" t="s">
        <v>102</v>
      </c>
      <c r="B219" s="1">
        <v>1060</v>
      </c>
      <c r="C219" s="1" t="s">
        <v>89</v>
      </c>
      <c r="D219" s="2">
        <v>1235.7139999999999</v>
      </c>
      <c r="E219" s="2">
        <v>-960.13099999999997</v>
      </c>
      <c r="F219" s="2">
        <v>-931.56299999999999</v>
      </c>
    </row>
    <row r="220" spans="1:6" hidden="1" x14ac:dyDescent="0.3">
      <c r="A220" s="1" t="s">
        <v>102</v>
      </c>
      <c r="B220" s="1">
        <v>1063</v>
      </c>
      <c r="C220" s="1" t="s">
        <v>89</v>
      </c>
      <c r="D220" s="2">
        <v>1192.809</v>
      </c>
      <c r="E220" s="2">
        <v>-28.904</v>
      </c>
      <c r="F220" s="2">
        <v>-680.81500000000005</v>
      </c>
    </row>
    <row r="221" spans="1:6" hidden="1" x14ac:dyDescent="0.3">
      <c r="A221" s="1" t="s">
        <v>102</v>
      </c>
      <c r="B221" s="1">
        <v>1065</v>
      </c>
      <c r="C221" s="1" t="s">
        <v>89</v>
      </c>
      <c r="D221" s="2">
        <v>511.80599999999998</v>
      </c>
      <c r="E221" s="2">
        <v>-335.88400000000001</v>
      </c>
      <c r="F221" s="2">
        <v>-937.46799999999996</v>
      </c>
    </row>
    <row r="222" spans="1:6" hidden="1" x14ac:dyDescent="0.3">
      <c r="A222" s="1" t="s">
        <v>102</v>
      </c>
      <c r="B222" s="1">
        <v>1066</v>
      </c>
      <c r="C222" s="1" t="s">
        <v>89</v>
      </c>
      <c r="D222" s="2">
        <v>1382.133</v>
      </c>
      <c r="E222" s="2">
        <v>-138.84399999999999</v>
      </c>
      <c r="F222" s="2">
        <v>-791.245</v>
      </c>
    </row>
    <row r="223" spans="1:6" hidden="1" x14ac:dyDescent="0.3">
      <c r="A223" s="1" t="s">
        <v>102</v>
      </c>
      <c r="B223" s="1">
        <v>1067</v>
      </c>
      <c r="C223" s="1" t="s">
        <v>89</v>
      </c>
      <c r="D223" s="2">
        <v>924.476</v>
      </c>
      <c r="E223" s="2">
        <v>-32.843000000000004</v>
      </c>
      <c r="F223" s="2">
        <v>-937.02300000000002</v>
      </c>
    </row>
    <row r="224" spans="1:6" hidden="1" x14ac:dyDescent="0.3">
      <c r="A224" s="1" t="s">
        <v>102</v>
      </c>
      <c r="B224" s="1">
        <v>1070</v>
      </c>
      <c r="C224" s="1" t="s">
        <v>89</v>
      </c>
      <c r="D224" s="2">
        <v>732.55600000000004</v>
      </c>
      <c r="E224" s="2">
        <v>-97.212999999999994</v>
      </c>
      <c r="F224" s="2">
        <v>-663.24900000000002</v>
      </c>
    </row>
    <row r="225" spans="1:6" hidden="1" x14ac:dyDescent="0.3">
      <c r="A225" s="1" t="s">
        <v>102</v>
      </c>
      <c r="B225" s="1">
        <v>1072</v>
      </c>
      <c r="C225" s="1" t="s">
        <v>89</v>
      </c>
      <c r="D225" s="2">
        <v>1040.646</v>
      </c>
      <c r="E225" s="2">
        <v>-490.685</v>
      </c>
      <c r="F225" s="2">
        <v>-1107.502</v>
      </c>
    </row>
    <row r="226" spans="1:6" hidden="1" x14ac:dyDescent="0.3">
      <c r="A226" s="1" t="s">
        <v>102</v>
      </c>
      <c r="B226" s="1">
        <v>1073</v>
      </c>
      <c r="C226" s="1" t="s">
        <v>89</v>
      </c>
      <c r="D226" s="2">
        <v>257.97000000000003</v>
      </c>
      <c r="E226" s="2">
        <v>-917.03599999999994</v>
      </c>
      <c r="F226" s="2">
        <v>-328.56299999999999</v>
      </c>
    </row>
    <row r="227" spans="1:6" hidden="1" x14ac:dyDescent="0.3">
      <c r="A227" s="1" t="s">
        <v>102</v>
      </c>
      <c r="B227" s="1">
        <v>1075</v>
      </c>
      <c r="C227" s="1" t="s">
        <v>89</v>
      </c>
      <c r="D227" s="2">
        <v>127.471</v>
      </c>
      <c r="E227" s="2">
        <v>-376.52800000000002</v>
      </c>
      <c r="F227" s="2">
        <v>-340.65800000000002</v>
      </c>
    </row>
    <row r="228" spans="1:6" hidden="1" x14ac:dyDescent="0.3">
      <c r="A228" s="1" t="s">
        <v>102</v>
      </c>
      <c r="B228" s="1">
        <v>1076</v>
      </c>
      <c r="C228" s="1" t="s">
        <v>89</v>
      </c>
      <c r="D228" s="2">
        <v>995.86099999999999</v>
      </c>
      <c r="E228" s="2">
        <v>-643.029</v>
      </c>
      <c r="F228" s="2">
        <v>-1147.4939999999999</v>
      </c>
    </row>
    <row r="229" spans="1:6" hidden="1" x14ac:dyDescent="0.3">
      <c r="A229" s="1" t="s">
        <v>102</v>
      </c>
      <c r="B229" s="1">
        <v>1077</v>
      </c>
      <c r="C229" s="1" t="s">
        <v>89</v>
      </c>
      <c r="D229" s="2">
        <v>152.72</v>
      </c>
      <c r="E229" s="2">
        <v>-837.63400000000001</v>
      </c>
      <c r="F229" s="2">
        <v>-680.67700000000002</v>
      </c>
    </row>
    <row r="230" spans="1:6" hidden="1" x14ac:dyDescent="0.3">
      <c r="A230" s="1" t="s">
        <v>102</v>
      </c>
      <c r="B230" s="1">
        <v>1078</v>
      </c>
      <c r="C230" s="1" t="s">
        <v>89</v>
      </c>
      <c r="D230" s="2">
        <v>1392.7460000000001</v>
      </c>
      <c r="E230" s="2">
        <v>-898.09</v>
      </c>
      <c r="F230" s="2">
        <v>-791.52300000000002</v>
      </c>
    </row>
    <row r="231" spans="1:6" hidden="1" x14ac:dyDescent="0.3">
      <c r="A231" s="1" t="s">
        <v>102</v>
      </c>
      <c r="B231" s="1">
        <v>1085</v>
      </c>
      <c r="C231" s="1" t="s">
        <v>89</v>
      </c>
      <c r="D231" s="2">
        <v>340.04399999999998</v>
      </c>
      <c r="E231" s="2">
        <v>-430.541</v>
      </c>
      <c r="F231" s="2">
        <v>-1028.046</v>
      </c>
    </row>
    <row r="232" spans="1:6" hidden="1" x14ac:dyDescent="0.3">
      <c r="A232" s="1" t="s">
        <v>102</v>
      </c>
      <c r="B232" s="1">
        <v>1086</v>
      </c>
      <c r="C232" s="1" t="s">
        <v>89</v>
      </c>
      <c r="D232" s="2">
        <v>1385.0360000000001</v>
      </c>
      <c r="E232" s="2">
        <v>-338.19</v>
      </c>
      <c r="F232" s="2">
        <v>-781.99699999999996</v>
      </c>
    </row>
    <row r="233" spans="1:6" hidden="1" x14ac:dyDescent="0.3">
      <c r="A233" s="1" t="s">
        <v>102</v>
      </c>
      <c r="B233" s="1">
        <v>1088</v>
      </c>
      <c r="C233" s="1" t="s">
        <v>89</v>
      </c>
      <c r="D233" s="2">
        <v>1385.5989999999999</v>
      </c>
      <c r="E233" s="2">
        <v>-499.44099999999997</v>
      </c>
      <c r="F233" s="2">
        <v>-783.09100000000001</v>
      </c>
    </row>
    <row r="234" spans="1:6" hidden="1" x14ac:dyDescent="0.3">
      <c r="A234" s="1" t="s">
        <v>102</v>
      </c>
      <c r="B234" s="1">
        <v>1089</v>
      </c>
      <c r="C234" s="1" t="s">
        <v>89</v>
      </c>
      <c r="D234" s="2">
        <v>1382.9739999999999</v>
      </c>
      <c r="E234" s="2">
        <v>-509.87299999999999</v>
      </c>
      <c r="F234" s="2">
        <v>-794.98199999999997</v>
      </c>
    </row>
    <row r="235" spans="1:6" hidden="1" x14ac:dyDescent="0.3">
      <c r="A235" s="1" t="s">
        <v>102</v>
      </c>
      <c r="B235" s="1">
        <v>1093</v>
      </c>
      <c r="C235" s="1" t="s">
        <v>89</v>
      </c>
      <c r="D235" s="2">
        <v>999.33199999999999</v>
      </c>
      <c r="E235" s="2">
        <v>3.125</v>
      </c>
      <c r="F235" s="2">
        <v>-877.49900000000002</v>
      </c>
    </row>
    <row r="236" spans="1:6" hidden="1" x14ac:dyDescent="0.3">
      <c r="A236" s="1" t="s">
        <v>102</v>
      </c>
      <c r="B236" s="1">
        <v>1095</v>
      </c>
      <c r="C236" s="1" t="s">
        <v>89</v>
      </c>
      <c r="D236" s="2">
        <v>355.39600000000002</v>
      </c>
      <c r="E236" s="2">
        <v>-159.14099999999999</v>
      </c>
      <c r="F236" s="2">
        <v>-1059.8</v>
      </c>
    </row>
    <row r="237" spans="1:6" hidden="1" x14ac:dyDescent="0.3">
      <c r="A237" s="1" t="s">
        <v>102</v>
      </c>
      <c r="B237" s="1">
        <v>1098</v>
      </c>
      <c r="C237" s="1" t="s">
        <v>89</v>
      </c>
      <c r="D237" s="2">
        <v>227.048</v>
      </c>
      <c r="E237" s="2">
        <v>-591.09900000000005</v>
      </c>
      <c r="F237" s="2">
        <v>-1075.412</v>
      </c>
    </row>
    <row r="238" spans="1:6" hidden="1" x14ac:dyDescent="0.3">
      <c r="A238" s="1" t="s">
        <v>102</v>
      </c>
      <c r="B238" s="1">
        <v>1099</v>
      </c>
      <c r="C238" s="1" t="s">
        <v>89</v>
      </c>
      <c r="D238" s="2">
        <v>218.94800000000001</v>
      </c>
      <c r="E238" s="2">
        <v>-605.34699999999998</v>
      </c>
      <c r="F238" s="2">
        <v>-1073.664</v>
      </c>
    </row>
    <row r="239" spans="1:6" hidden="1" x14ac:dyDescent="0.3">
      <c r="A239" s="1" t="s">
        <v>102</v>
      </c>
      <c r="B239" s="1">
        <v>1103</v>
      </c>
      <c r="C239" s="1" t="s">
        <v>89</v>
      </c>
      <c r="D239" s="2">
        <v>1111.9829999999999</v>
      </c>
      <c r="E239" s="2">
        <v>-42.395000000000003</v>
      </c>
      <c r="F239" s="2">
        <v>-751.55499999999995</v>
      </c>
    </row>
    <row r="240" spans="1:6" hidden="1" x14ac:dyDescent="0.3">
      <c r="A240" s="1" t="s">
        <v>102</v>
      </c>
      <c r="B240" s="1">
        <v>1107</v>
      </c>
      <c r="C240" s="1" t="s">
        <v>89</v>
      </c>
      <c r="D240" s="2">
        <v>1382.519</v>
      </c>
      <c r="E240" s="2">
        <v>-348.18299999999999</v>
      </c>
      <c r="F240" s="2">
        <v>-794.077</v>
      </c>
    </row>
    <row r="241" spans="1:6" hidden="1" x14ac:dyDescent="0.3">
      <c r="A241" s="1" t="s">
        <v>102</v>
      </c>
      <c r="B241" s="1">
        <v>1108</v>
      </c>
      <c r="C241" s="1" t="s">
        <v>89</v>
      </c>
      <c r="D241" s="2">
        <v>478.041</v>
      </c>
      <c r="E241" s="2">
        <v>-864.77700000000004</v>
      </c>
      <c r="F241" s="2">
        <v>-473.952</v>
      </c>
    </row>
    <row r="242" spans="1:6" hidden="1" x14ac:dyDescent="0.3">
      <c r="A242" s="1" t="s">
        <v>102</v>
      </c>
      <c r="B242" s="1">
        <v>1109</v>
      </c>
      <c r="C242" s="1" t="s">
        <v>89</v>
      </c>
      <c r="D242" s="2">
        <v>140.637</v>
      </c>
      <c r="E242" s="2">
        <v>-607.85699999999997</v>
      </c>
      <c r="F242" s="2">
        <v>-628.66099999999994</v>
      </c>
    </row>
    <row r="243" spans="1:6" hidden="1" x14ac:dyDescent="0.3">
      <c r="A243" s="1" t="s">
        <v>102</v>
      </c>
      <c r="B243" s="1">
        <v>1110</v>
      </c>
      <c r="C243" s="1" t="s">
        <v>89</v>
      </c>
      <c r="D243" s="2">
        <v>-153.72200000000001</v>
      </c>
      <c r="E243" s="2">
        <v>-594.06200000000001</v>
      </c>
      <c r="F243" s="2">
        <v>-642.73599999999999</v>
      </c>
    </row>
    <row r="244" spans="1:6" hidden="1" x14ac:dyDescent="0.3">
      <c r="A244" s="1" t="s">
        <v>102</v>
      </c>
      <c r="B244" s="1">
        <v>1111</v>
      </c>
      <c r="C244" s="1" t="s">
        <v>89</v>
      </c>
      <c r="D244" s="2">
        <v>549.40300000000002</v>
      </c>
      <c r="E244" s="2">
        <v>-1.99</v>
      </c>
      <c r="F244" s="2">
        <v>238.44900000000001</v>
      </c>
    </row>
    <row r="245" spans="1:6" hidden="1" x14ac:dyDescent="0.3">
      <c r="A245" s="1" t="s">
        <v>102</v>
      </c>
      <c r="B245" s="1">
        <v>1112</v>
      </c>
      <c r="C245" s="1" t="s">
        <v>89</v>
      </c>
      <c r="D245" s="2">
        <v>916.91899999999998</v>
      </c>
      <c r="E245" s="2">
        <v>-32.720999999999997</v>
      </c>
      <c r="F245" s="2">
        <v>-915.226</v>
      </c>
    </row>
    <row r="246" spans="1:6" hidden="1" x14ac:dyDescent="0.3">
      <c r="A246" s="1" t="s">
        <v>102</v>
      </c>
      <c r="B246" s="1">
        <v>1115</v>
      </c>
      <c r="C246" s="1" t="s">
        <v>89</v>
      </c>
      <c r="D246" s="2">
        <v>1354.566</v>
      </c>
      <c r="E246" s="2">
        <v>-725.47900000000004</v>
      </c>
      <c r="F246" s="2">
        <v>-578.27499999999998</v>
      </c>
    </row>
    <row r="247" spans="1:6" hidden="1" x14ac:dyDescent="0.3">
      <c r="A247" s="1" t="s">
        <v>102</v>
      </c>
      <c r="B247" s="1">
        <v>1119</v>
      </c>
      <c r="C247" s="1" t="s">
        <v>89</v>
      </c>
      <c r="D247" s="2">
        <v>358.06900000000002</v>
      </c>
      <c r="E247" s="2">
        <v>-426.63900000000001</v>
      </c>
      <c r="F247" s="2">
        <v>-998.17700000000002</v>
      </c>
    </row>
    <row r="248" spans="1:6" hidden="1" x14ac:dyDescent="0.3">
      <c r="A248" s="1" t="s">
        <v>102</v>
      </c>
      <c r="B248" s="1">
        <v>1120</v>
      </c>
      <c r="C248" s="1" t="s">
        <v>89</v>
      </c>
      <c r="D248" s="2">
        <v>426.07</v>
      </c>
      <c r="E248" s="2">
        <v>-130.44499999999999</v>
      </c>
      <c r="F248" s="2">
        <v>-1375.442</v>
      </c>
    </row>
    <row r="249" spans="1:6" hidden="1" x14ac:dyDescent="0.3">
      <c r="A249" s="1" t="s">
        <v>102</v>
      </c>
      <c r="B249" s="1">
        <v>1122</v>
      </c>
      <c r="C249" s="1" t="s">
        <v>89</v>
      </c>
      <c r="D249" s="2">
        <v>1190.9590000000001</v>
      </c>
      <c r="E249" s="2">
        <v>-24.364000000000001</v>
      </c>
      <c r="F249" s="2">
        <v>-697.49400000000003</v>
      </c>
    </row>
    <row r="250" spans="1:6" hidden="1" x14ac:dyDescent="0.3">
      <c r="A250" s="1" t="s">
        <v>102</v>
      </c>
      <c r="B250" s="1">
        <v>1123</v>
      </c>
      <c r="C250" s="1" t="s">
        <v>89</v>
      </c>
      <c r="D250" s="2">
        <v>1171.19</v>
      </c>
      <c r="E250" s="2">
        <v>2.0569999999999999</v>
      </c>
      <c r="F250" s="2">
        <v>-776.53499999999997</v>
      </c>
    </row>
    <row r="251" spans="1:6" hidden="1" x14ac:dyDescent="0.3">
      <c r="A251" s="1" t="s">
        <v>102</v>
      </c>
      <c r="B251" s="1">
        <v>1125</v>
      </c>
      <c r="C251" s="1" t="s">
        <v>89</v>
      </c>
      <c r="D251" s="2">
        <v>351.93799999999999</v>
      </c>
      <c r="E251" s="2">
        <v>-897.46799999999996</v>
      </c>
      <c r="F251" s="2">
        <v>-687.38800000000003</v>
      </c>
    </row>
    <row r="252" spans="1:6" hidden="1" x14ac:dyDescent="0.3">
      <c r="A252" s="1" t="s">
        <v>102</v>
      </c>
      <c r="B252" s="1">
        <v>1126</v>
      </c>
      <c r="C252" s="1" t="s">
        <v>89</v>
      </c>
      <c r="D252" s="2">
        <v>548.28</v>
      </c>
      <c r="E252" s="2">
        <v>-339.06599999999997</v>
      </c>
      <c r="F252" s="2">
        <v>-913.05899999999997</v>
      </c>
    </row>
    <row r="253" spans="1:6" hidden="1" x14ac:dyDescent="0.3">
      <c r="A253" s="1" t="s">
        <v>102</v>
      </c>
      <c r="B253" s="1">
        <v>1128</v>
      </c>
      <c r="C253" s="1" t="s">
        <v>89</v>
      </c>
      <c r="D253" s="2">
        <v>1090.6880000000001</v>
      </c>
      <c r="E253" s="2">
        <v>-46.38</v>
      </c>
      <c r="F253" s="2">
        <v>-774.16499999999996</v>
      </c>
    </row>
    <row r="254" spans="1:6" hidden="1" x14ac:dyDescent="0.3">
      <c r="A254" s="1" t="s">
        <v>102</v>
      </c>
      <c r="B254" s="1">
        <v>1132</v>
      </c>
      <c r="C254" s="1" t="s">
        <v>89</v>
      </c>
      <c r="D254" s="2">
        <v>1384.575</v>
      </c>
      <c r="E254" s="2">
        <v>-133.55699999999999</v>
      </c>
      <c r="F254" s="2">
        <v>-782.01700000000005</v>
      </c>
    </row>
    <row r="255" spans="1:6" hidden="1" x14ac:dyDescent="0.3">
      <c r="A255" s="1" t="s">
        <v>102</v>
      </c>
      <c r="B255" s="1">
        <v>1133</v>
      </c>
      <c r="C255" s="1" t="s">
        <v>89</v>
      </c>
      <c r="D255" s="2">
        <v>1224.4639999999999</v>
      </c>
      <c r="E255" s="2">
        <v>10.847</v>
      </c>
      <c r="F255" s="2">
        <v>-597.79999999999995</v>
      </c>
    </row>
    <row r="256" spans="1:6" hidden="1" x14ac:dyDescent="0.3">
      <c r="A256" s="1" t="s">
        <v>102</v>
      </c>
      <c r="B256" s="1">
        <v>1135</v>
      </c>
      <c r="C256" s="1" t="s">
        <v>89</v>
      </c>
      <c r="D256" s="2">
        <v>63.338999999999999</v>
      </c>
      <c r="E256" s="2">
        <v>-335.14</v>
      </c>
      <c r="F256" s="2">
        <v>-359.31400000000002</v>
      </c>
    </row>
    <row r="257" spans="1:6" hidden="1" x14ac:dyDescent="0.3">
      <c r="A257" s="1" t="s">
        <v>102</v>
      </c>
      <c r="B257" s="1">
        <v>1138</v>
      </c>
      <c r="C257" s="1" t="s">
        <v>89</v>
      </c>
      <c r="D257" s="2">
        <v>1105.6600000000001</v>
      </c>
      <c r="E257" s="2">
        <v>-2.3959999999999999</v>
      </c>
      <c r="F257" s="2">
        <v>-700.76300000000003</v>
      </c>
    </row>
    <row r="258" spans="1:6" hidden="1" x14ac:dyDescent="0.3">
      <c r="A258" s="1" t="s">
        <v>102</v>
      </c>
      <c r="B258" s="1">
        <v>1141</v>
      </c>
      <c r="C258" s="1" t="s">
        <v>89</v>
      </c>
      <c r="D258" s="2">
        <v>1020.66</v>
      </c>
      <c r="E258" s="2">
        <v>2.173</v>
      </c>
      <c r="F258" s="2">
        <v>-857.17899999999997</v>
      </c>
    </row>
    <row r="259" spans="1:6" hidden="1" x14ac:dyDescent="0.3">
      <c r="A259" s="1" t="s">
        <v>102</v>
      </c>
      <c r="B259" s="1">
        <v>1147</v>
      </c>
      <c r="C259" s="1" t="s">
        <v>89</v>
      </c>
      <c r="D259" s="2">
        <v>465.42899999999997</v>
      </c>
      <c r="E259" s="2">
        <v>-875.798</v>
      </c>
      <c r="F259" s="2">
        <v>-458.839</v>
      </c>
    </row>
    <row r="260" spans="1:6" hidden="1" x14ac:dyDescent="0.3">
      <c r="A260" s="1" t="s">
        <v>102</v>
      </c>
      <c r="B260" s="1">
        <v>1148</v>
      </c>
      <c r="C260" s="1" t="s">
        <v>89</v>
      </c>
      <c r="D260" s="2">
        <v>167.65199999999999</v>
      </c>
      <c r="E260" s="2">
        <v>-584.96900000000005</v>
      </c>
      <c r="F260" s="2">
        <v>-588.35199999999998</v>
      </c>
    </row>
    <row r="261" spans="1:6" hidden="1" x14ac:dyDescent="0.3">
      <c r="A261" s="1" t="s">
        <v>102</v>
      </c>
      <c r="B261" s="1">
        <v>1150</v>
      </c>
      <c r="C261" s="1" t="s">
        <v>89</v>
      </c>
      <c r="D261" s="2">
        <v>987.35699999999997</v>
      </c>
      <c r="E261" s="2">
        <v>10.951000000000001</v>
      </c>
      <c r="F261" s="2">
        <v>-803.46699999999998</v>
      </c>
    </row>
    <row r="262" spans="1:6" hidden="1" x14ac:dyDescent="0.3">
      <c r="A262" s="1" t="s">
        <v>102</v>
      </c>
      <c r="B262" s="1">
        <v>1151</v>
      </c>
      <c r="C262" s="1" t="s">
        <v>89</v>
      </c>
      <c r="D262" s="2">
        <v>417.50599999999997</v>
      </c>
      <c r="E262" s="2">
        <v>-849.33900000000006</v>
      </c>
      <c r="F262" s="2">
        <v>-461.81099999999998</v>
      </c>
    </row>
    <row r="263" spans="1:6" hidden="1" x14ac:dyDescent="0.3">
      <c r="A263" s="1" t="s">
        <v>102</v>
      </c>
      <c r="B263" s="1">
        <v>1152</v>
      </c>
      <c r="C263" s="1" t="s">
        <v>89</v>
      </c>
      <c r="D263" s="2">
        <v>126.58799999999999</v>
      </c>
      <c r="E263" s="2">
        <v>-288.601</v>
      </c>
      <c r="F263" s="2">
        <v>-305.37599999999998</v>
      </c>
    </row>
    <row r="264" spans="1:6" hidden="1" x14ac:dyDescent="0.3">
      <c r="A264" s="1" t="s">
        <v>102</v>
      </c>
      <c r="B264" s="1">
        <v>1153</v>
      </c>
      <c r="C264" s="1" t="s">
        <v>89</v>
      </c>
      <c r="D264" s="2">
        <v>1100.211</v>
      </c>
      <c r="E264" s="2">
        <v>-43.923999999999999</v>
      </c>
      <c r="F264" s="2">
        <v>-784.52200000000005</v>
      </c>
    </row>
    <row r="265" spans="1:6" hidden="1" x14ac:dyDescent="0.3">
      <c r="A265" s="1" t="s">
        <v>102</v>
      </c>
      <c r="B265" s="1">
        <v>1156</v>
      </c>
      <c r="C265" s="1" t="s">
        <v>89</v>
      </c>
      <c r="D265" s="2">
        <v>422.26499999999999</v>
      </c>
      <c r="E265" s="2">
        <v>-157.59800000000001</v>
      </c>
      <c r="F265" s="2">
        <v>-1137.846</v>
      </c>
    </row>
    <row r="266" spans="1:6" hidden="1" x14ac:dyDescent="0.3">
      <c r="A266" s="1" t="s">
        <v>102</v>
      </c>
      <c r="B266" s="1">
        <v>1158</v>
      </c>
      <c r="C266" s="1" t="s">
        <v>89</v>
      </c>
      <c r="D266" s="2">
        <v>394.37299999999999</v>
      </c>
      <c r="E266" s="2">
        <v>-131.77000000000001</v>
      </c>
      <c r="F266" s="2">
        <v>-1338.846</v>
      </c>
    </row>
    <row r="267" spans="1:6" hidden="1" x14ac:dyDescent="0.3">
      <c r="A267" s="1" t="s">
        <v>102</v>
      </c>
      <c r="B267" s="1">
        <v>1159</v>
      </c>
      <c r="C267" s="1" t="s">
        <v>89</v>
      </c>
      <c r="D267" s="2">
        <v>550.68700000000001</v>
      </c>
      <c r="E267" s="2">
        <v>-324.09899999999999</v>
      </c>
      <c r="F267" s="2">
        <v>-1013.836</v>
      </c>
    </row>
    <row r="268" spans="1:6" hidden="1" x14ac:dyDescent="0.3">
      <c r="A268" s="1" t="s">
        <v>102</v>
      </c>
      <c r="B268" s="1">
        <v>1162</v>
      </c>
      <c r="C268" s="1" t="s">
        <v>89</v>
      </c>
      <c r="D268" s="2">
        <v>229.584</v>
      </c>
      <c r="E268" s="2">
        <v>-915.43100000000004</v>
      </c>
      <c r="F268" s="2">
        <v>-467.55</v>
      </c>
    </row>
    <row r="269" spans="1:6" hidden="1" x14ac:dyDescent="0.3">
      <c r="A269" s="1" t="s">
        <v>102</v>
      </c>
      <c r="B269" s="1">
        <v>1165</v>
      </c>
      <c r="C269" s="1" t="s">
        <v>89</v>
      </c>
      <c r="D269" s="2">
        <v>1200.1869999999999</v>
      </c>
      <c r="E269" s="2">
        <v>-41.054000000000002</v>
      </c>
      <c r="F269" s="2">
        <v>-669.904</v>
      </c>
    </row>
    <row r="270" spans="1:6" hidden="1" x14ac:dyDescent="0.3">
      <c r="A270" s="1" t="s">
        <v>102</v>
      </c>
      <c r="B270" s="1">
        <v>1166</v>
      </c>
      <c r="C270" s="1" t="s">
        <v>89</v>
      </c>
      <c r="D270" s="2">
        <v>1331.104</v>
      </c>
      <c r="E270" s="2">
        <v>-717.30899999999997</v>
      </c>
      <c r="F270" s="2">
        <v>-548.03300000000002</v>
      </c>
    </row>
    <row r="271" spans="1:6" hidden="1" x14ac:dyDescent="0.3">
      <c r="A271" s="1" t="s">
        <v>102</v>
      </c>
      <c r="B271" s="1">
        <v>1170</v>
      </c>
      <c r="C271" s="1" t="s">
        <v>89</v>
      </c>
      <c r="D271" s="2">
        <v>338.80099999999999</v>
      </c>
      <c r="E271" s="2">
        <v>-428.97399999999999</v>
      </c>
      <c r="F271" s="2">
        <v>-1021.5890000000001</v>
      </c>
    </row>
    <row r="272" spans="1:6" hidden="1" x14ac:dyDescent="0.3">
      <c r="A272" s="1" t="s">
        <v>102</v>
      </c>
      <c r="B272" s="1">
        <v>1175</v>
      </c>
      <c r="C272" s="1" t="s">
        <v>89</v>
      </c>
      <c r="D272" s="2">
        <v>199.691</v>
      </c>
      <c r="E272" s="2">
        <v>-483.85700000000003</v>
      </c>
      <c r="F272" s="2">
        <v>-682.779</v>
      </c>
    </row>
    <row r="273" spans="1:6" hidden="1" x14ac:dyDescent="0.3">
      <c r="A273" s="1" t="s">
        <v>102</v>
      </c>
      <c r="B273" s="1">
        <v>1179</v>
      </c>
      <c r="C273" s="1" t="s">
        <v>89</v>
      </c>
      <c r="D273" s="2">
        <v>-424.93</v>
      </c>
      <c r="E273" s="2">
        <v>-15.821999999999999</v>
      </c>
      <c r="F273" s="2">
        <v>-446.69799999999998</v>
      </c>
    </row>
    <row r="274" spans="1:6" hidden="1" x14ac:dyDescent="0.3">
      <c r="A274" s="1" t="s">
        <v>102</v>
      </c>
      <c r="B274" s="1">
        <v>1182</v>
      </c>
      <c r="C274" s="1" t="s">
        <v>89</v>
      </c>
      <c r="D274" s="2">
        <v>826.06</v>
      </c>
      <c r="E274" s="2">
        <v>-825.50699999999995</v>
      </c>
      <c r="F274" s="2">
        <v>-1239.5440000000001</v>
      </c>
    </row>
    <row r="275" spans="1:6" hidden="1" x14ac:dyDescent="0.3">
      <c r="A275" s="1" t="s">
        <v>102</v>
      </c>
      <c r="B275" s="1">
        <v>1183</v>
      </c>
      <c r="C275" s="1" t="s">
        <v>89</v>
      </c>
      <c r="D275" s="2">
        <v>1209.0139999999999</v>
      </c>
      <c r="E275" s="2">
        <v>-27.535</v>
      </c>
      <c r="F275" s="2">
        <v>-679.44899999999996</v>
      </c>
    </row>
    <row r="276" spans="1:6" hidden="1" x14ac:dyDescent="0.3">
      <c r="A276" s="1" t="s">
        <v>102</v>
      </c>
      <c r="B276" s="1">
        <v>1185</v>
      </c>
      <c r="C276" s="1" t="s">
        <v>89</v>
      </c>
      <c r="D276" s="2">
        <v>1127.354</v>
      </c>
      <c r="E276" s="2">
        <v>-10.582000000000001</v>
      </c>
      <c r="F276" s="2">
        <v>-752.48599999999999</v>
      </c>
    </row>
    <row r="277" spans="1:6" hidden="1" x14ac:dyDescent="0.3">
      <c r="A277" s="1" t="s">
        <v>102</v>
      </c>
      <c r="B277" s="1">
        <v>1186</v>
      </c>
      <c r="C277" s="1" t="s">
        <v>89</v>
      </c>
      <c r="D277" s="2">
        <v>1386.162</v>
      </c>
      <c r="E277" s="2">
        <v>-903.16399999999999</v>
      </c>
      <c r="F277" s="2">
        <v>-788.15800000000002</v>
      </c>
    </row>
    <row r="278" spans="1:6" hidden="1" x14ac:dyDescent="0.3">
      <c r="A278" s="1" t="s">
        <v>102</v>
      </c>
      <c r="B278" s="1">
        <v>1195</v>
      </c>
      <c r="C278" s="1" t="s">
        <v>89</v>
      </c>
      <c r="D278" s="2">
        <v>339.41399999999999</v>
      </c>
      <c r="E278" s="2">
        <v>-8.3019999999999996</v>
      </c>
      <c r="F278" s="2">
        <v>105.827</v>
      </c>
    </row>
    <row r="279" spans="1:6" hidden="1" x14ac:dyDescent="0.3">
      <c r="A279" s="1" t="s">
        <v>102</v>
      </c>
      <c r="B279" s="1">
        <v>1206</v>
      </c>
      <c r="C279" s="1" t="s">
        <v>89</v>
      </c>
      <c r="D279" s="2">
        <v>26.852</v>
      </c>
      <c r="E279" s="2">
        <v>-389.97399999999999</v>
      </c>
      <c r="F279" s="2">
        <v>-414.947</v>
      </c>
    </row>
    <row r="280" spans="1:6" hidden="1" x14ac:dyDescent="0.3">
      <c r="A280" s="1" t="s">
        <v>102</v>
      </c>
      <c r="B280" s="1">
        <v>1210</v>
      </c>
      <c r="C280" s="1" t="s">
        <v>89</v>
      </c>
      <c r="D280" s="2">
        <v>1163.7139999999999</v>
      </c>
      <c r="E280" s="2">
        <v>-60.859000000000002</v>
      </c>
      <c r="F280" s="2">
        <v>-718.52300000000002</v>
      </c>
    </row>
    <row r="281" spans="1:6" hidden="1" x14ac:dyDescent="0.3">
      <c r="A281" s="1" t="s">
        <v>102</v>
      </c>
      <c r="B281" s="1">
        <v>1211</v>
      </c>
      <c r="C281" s="1" t="s">
        <v>89</v>
      </c>
      <c r="D281" s="2">
        <v>1460.4159999999999</v>
      </c>
      <c r="E281" s="2">
        <v>-839.529</v>
      </c>
      <c r="F281" s="2">
        <v>-665.10699999999997</v>
      </c>
    </row>
    <row r="282" spans="1:6" hidden="1" x14ac:dyDescent="0.3">
      <c r="A282" s="1" t="s">
        <v>102</v>
      </c>
      <c r="B282" s="1">
        <v>1225</v>
      </c>
      <c r="C282" s="1" t="s">
        <v>89</v>
      </c>
      <c r="D282" s="2">
        <v>-136.17400000000001</v>
      </c>
      <c r="E282" s="2">
        <v>-570.63400000000001</v>
      </c>
      <c r="F282" s="2">
        <v>-628.56100000000004</v>
      </c>
    </row>
    <row r="283" spans="1:6" hidden="1" x14ac:dyDescent="0.3">
      <c r="A283" s="1" t="s">
        <v>102</v>
      </c>
      <c r="B283" s="1">
        <v>1228</v>
      </c>
      <c r="C283" s="1" t="s">
        <v>89</v>
      </c>
      <c r="D283" s="2">
        <v>65.519000000000005</v>
      </c>
      <c r="E283" s="2">
        <v>-377.54300000000001</v>
      </c>
      <c r="F283" s="2">
        <v>-386.88799999999998</v>
      </c>
    </row>
    <row r="284" spans="1:6" hidden="1" x14ac:dyDescent="0.3">
      <c r="A284" s="1" t="s">
        <v>102</v>
      </c>
      <c r="B284" s="1">
        <v>1232</v>
      </c>
      <c r="C284" s="1" t="s">
        <v>89</v>
      </c>
      <c r="D284" s="2">
        <v>394.12599999999998</v>
      </c>
      <c r="E284" s="2">
        <v>-900.67499999999995</v>
      </c>
      <c r="F284" s="2">
        <v>-648.67999999999995</v>
      </c>
    </row>
    <row r="285" spans="1:6" hidden="1" x14ac:dyDescent="0.3">
      <c r="A285" s="1" t="s">
        <v>102</v>
      </c>
      <c r="B285" s="1">
        <v>1240</v>
      </c>
      <c r="C285" s="1" t="s">
        <v>89</v>
      </c>
      <c r="D285" s="2">
        <v>262.036</v>
      </c>
      <c r="E285" s="2">
        <v>-20.599</v>
      </c>
      <c r="F285" s="2">
        <v>38.837000000000003</v>
      </c>
    </row>
    <row r="286" spans="1:6" hidden="1" x14ac:dyDescent="0.3">
      <c r="A286" s="1" t="s">
        <v>102</v>
      </c>
      <c r="B286" s="1">
        <v>1243</v>
      </c>
      <c r="C286" s="1" t="s">
        <v>89</v>
      </c>
      <c r="D286" s="2">
        <v>748.81100000000004</v>
      </c>
      <c r="E286" s="2">
        <v>-97.105999999999995</v>
      </c>
      <c r="F286" s="2">
        <v>-647.03</v>
      </c>
    </row>
    <row r="287" spans="1:6" hidden="1" x14ac:dyDescent="0.3">
      <c r="A287" s="1" t="s">
        <v>102</v>
      </c>
      <c r="B287" s="1">
        <v>1245</v>
      </c>
      <c r="C287" s="1" t="s">
        <v>89</v>
      </c>
      <c r="D287" s="2">
        <v>1152.5519999999999</v>
      </c>
      <c r="E287" s="2">
        <v>-45.654000000000003</v>
      </c>
      <c r="F287" s="2">
        <v>-739.77800000000002</v>
      </c>
    </row>
    <row r="288" spans="1:6" hidden="1" x14ac:dyDescent="0.3">
      <c r="A288" s="1" t="s">
        <v>102</v>
      </c>
      <c r="B288" s="1">
        <v>1258</v>
      </c>
      <c r="C288" s="1" t="s">
        <v>89</v>
      </c>
      <c r="D288" s="2">
        <v>159.66300000000001</v>
      </c>
      <c r="E288" s="2">
        <v>-590.97199999999998</v>
      </c>
      <c r="F288" s="2">
        <v>-595.13400000000001</v>
      </c>
    </row>
    <row r="289" spans="1:6" hidden="1" x14ac:dyDescent="0.3">
      <c r="A289" s="1" t="s">
        <v>102</v>
      </c>
      <c r="B289" s="1">
        <v>1262</v>
      </c>
      <c r="C289" s="1" t="s">
        <v>89</v>
      </c>
      <c r="D289" s="2">
        <v>437.005</v>
      </c>
      <c r="E289" s="2">
        <v>-874.33500000000004</v>
      </c>
      <c r="F289" s="2">
        <v>-397.35500000000002</v>
      </c>
    </row>
    <row r="290" spans="1:6" hidden="1" x14ac:dyDescent="0.3">
      <c r="A290" s="1" t="s">
        <v>102</v>
      </c>
      <c r="B290" s="1">
        <v>1267</v>
      </c>
      <c r="C290" s="1" t="s">
        <v>89</v>
      </c>
      <c r="D290" s="2">
        <v>1195.8320000000001</v>
      </c>
      <c r="E290" s="2">
        <v>-42.646999999999998</v>
      </c>
      <c r="F290" s="2">
        <v>-680.21400000000006</v>
      </c>
    </row>
    <row r="291" spans="1:6" hidden="1" x14ac:dyDescent="0.3">
      <c r="A291" s="1" t="s">
        <v>102</v>
      </c>
      <c r="B291" s="1">
        <v>1268</v>
      </c>
      <c r="C291" s="1" t="s">
        <v>89</v>
      </c>
      <c r="D291" s="2">
        <v>640.46400000000006</v>
      </c>
      <c r="E291" s="2">
        <v>-278.346</v>
      </c>
      <c r="F291" s="2">
        <v>-1444.626</v>
      </c>
    </row>
    <row r="292" spans="1:6" hidden="1" x14ac:dyDescent="0.3">
      <c r="A292" s="1" t="s">
        <v>102</v>
      </c>
      <c r="B292" s="1">
        <v>1270</v>
      </c>
      <c r="C292" s="1" t="s">
        <v>89</v>
      </c>
      <c r="D292" s="2">
        <v>127.789</v>
      </c>
      <c r="E292" s="2">
        <v>-814.95500000000004</v>
      </c>
      <c r="F292" s="2">
        <v>-653.33500000000004</v>
      </c>
    </row>
    <row r="293" spans="1:6" hidden="1" x14ac:dyDescent="0.3">
      <c r="A293" s="1" t="s">
        <v>102</v>
      </c>
      <c r="B293" s="1">
        <v>1273</v>
      </c>
      <c r="C293" s="1" t="s">
        <v>89</v>
      </c>
      <c r="D293" s="2">
        <v>389.75799999999998</v>
      </c>
      <c r="E293" s="2">
        <v>-894.38</v>
      </c>
      <c r="F293" s="2">
        <v>-653.05100000000004</v>
      </c>
    </row>
    <row r="294" spans="1:6" hidden="1" x14ac:dyDescent="0.3">
      <c r="A294" s="1" t="s">
        <v>102</v>
      </c>
      <c r="B294" s="1">
        <v>1275</v>
      </c>
      <c r="C294" s="1" t="s">
        <v>89</v>
      </c>
      <c r="D294" s="2">
        <v>918.904</v>
      </c>
      <c r="E294" s="2">
        <v>-20.094000000000001</v>
      </c>
      <c r="F294" s="2">
        <v>-934.66899999999998</v>
      </c>
    </row>
    <row r="295" spans="1:6" hidden="1" x14ac:dyDescent="0.3">
      <c r="A295" s="1" t="s">
        <v>102</v>
      </c>
      <c r="B295" s="1">
        <v>1278</v>
      </c>
      <c r="C295" s="1" t="s">
        <v>89</v>
      </c>
      <c r="D295" s="2">
        <v>135.446</v>
      </c>
      <c r="E295" s="2">
        <v>-346.54700000000003</v>
      </c>
      <c r="F295" s="2">
        <v>-836.91399999999999</v>
      </c>
    </row>
    <row r="296" spans="1:6" hidden="1" x14ac:dyDescent="0.3">
      <c r="A296" s="1" t="s">
        <v>102</v>
      </c>
      <c r="B296" s="1">
        <v>1285</v>
      </c>
      <c r="C296" s="1" t="s">
        <v>89</v>
      </c>
      <c r="D296" s="2">
        <v>848.447</v>
      </c>
      <c r="E296" s="2">
        <v>-770.30700000000002</v>
      </c>
      <c r="F296" s="2">
        <v>-1177.511</v>
      </c>
    </row>
    <row r="297" spans="1:6" hidden="1" x14ac:dyDescent="0.3">
      <c r="A297" s="1" t="s">
        <v>102</v>
      </c>
      <c r="B297" s="1">
        <v>1289</v>
      </c>
      <c r="C297" s="1" t="s">
        <v>89</v>
      </c>
      <c r="D297" s="2">
        <v>1061.713</v>
      </c>
      <c r="E297" s="2">
        <v>-35.698</v>
      </c>
      <c r="F297" s="2">
        <v>-792.28399999999999</v>
      </c>
    </row>
    <row r="298" spans="1:6" hidden="1" x14ac:dyDescent="0.3">
      <c r="A298" s="1" t="s">
        <v>102</v>
      </c>
      <c r="B298" s="1">
        <v>1290</v>
      </c>
      <c r="C298" s="1" t="s">
        <v>89</v>
      </c>
      <c r="D298" s="2">
        <v>1124.116</v>
      </c>
      <c r="E298" s="2">
        <v>-16.774999999999999</v>
      </c>
      <c r="F298" s="2">
        <v>-757.43799999999999</v>
      </c>
    </row>
    <row r="299" spans="1:6" hidden="1" x14ac:dyDescent="0.3">
      <c r="A299" s="1" t="s">
        <v>102</v>
      </c>
      <c r="B299" s="1">
        <v>1291</v>
      </c>
      <c r="C299" s="1" t="s">
        <v>89</v>
      </c>
      <c r="D299" s="2">
        <v>294.428</v>
      </c>
      <c r="E299" s="2">
        <v>-123.914</v>
      </c>
      <c r="F299" s="2">
        <v>-1553.953</v>
      </c>
    </row>
    <row r="300" spans="1:6" hidden="1" x14ac:dyDescent="0.3">
      <c r="A300" s="1" t="s">
        <v>102</v>
      </c>
      <c r="B300" s="1">
        <v>1293</v>
      </c>
      <c r="C300" s="1" t="s">
        <v>89</v>
      </c>
      <c r="D300" s="2">
        <v>373.899</v>
      </c>
      <c r="E300" s="2">
        <v>-903.88900000000001</v>
      </c>
      <c r="F300" s="2">
        <v>-668.03499999999997</v>
      </c>
    </row>
    <row r="301" spans="1:6" hidden="1" x14ac:dyDescent="0.3">
      <c r="A301" s="1" t="s">
        <v>102</v>
      </c>
      <c r="B301" s="1">
        <v>1301</v>
      </c>
      <c r="C301" s="1" t="s">
        <v>89</v>
      </c>
      <c r="D301" s="2">
        <v>913.90300000000002</v>
      </c>
      <c r="E301" s="2">
        <v>-33.610999999999997</v>
      </c>
      <c r="F301" s="2">
        <v>-925.45399999999995</v>
      </c>
    </row>
    <row r="302" spans="1:6" hidden="1" x14ac:dyDescent="0.3">
      <c r="A302" s="1" t="s">
        <v>102</v>
      </c>
      <c r="B302" s="1">
        <v>1302</v>
      </c>
      <c r="C302" s="1" t="s">
        <v>89</v>
      </c>
      <c r="D302" s="2">
        <v>1171.329</v>
      </c>
      <c r="E302" s="2">
        <v>12.254</v>
      </c>
      <c r="F302" s="2">
        <v>-776.22400000000005</v>
      </c>
    </row>
    <row r="303" spans="1:6" hidden="1" x14ac:dyDescent="0.3">
      <c r="A303" s="1" t="s">
        <v>102</v>
      </c>
      <c r="B303" s="1">
        <v>1308</v>
      </c>
      <c r="C303" s="1" t="s">
        <v>89</v>
      </c>
      <c r="D303" s="2">
        <v>1136.0429999999999</v>
      </c>
      <c r="E303" s="2">
        <v>-182.72499999999999</v>
      </c>
      <c r="F303" s="2">
        <v>-1011.703</v>
      </c>
    </row>
    <row r="304" spans="1:6" hidden="1" x14ac:dyDescent="0.3">
      <c r="A304" s="1" t="s">
        <v>102</v>
      </c>
      <c r="B304" s="1">
        <v>1309</v>
      </c>
      <c r="C304" s="1" t="s">
        <v>89</v>
      </c>
      <c r="D304" s="2">
        <v>1098.9760000000001</v>
      </c>
      <c r="E304" s="2">
        <v>-34.045000000000002</v>
      </c>
      <c r="F304" s="2">
        <v>-757.63900000000001</v>
      </c>
    </row>
    <row r="305" spans="1:6" hidden="1" x14ac:dyDescent="0.3">
      <c r="A305" s="1" t="s">
        <v>102</v>
      </c>
      <c r="B305" s="1">
        <v>1310</v>
      </c>
      <c r="C305" s="1" t="s">
        <v>89</v>
      </c>
      <c r="D305" s="2">
        <v>1058.213</v>
      </c>
      <c r="E305" s="2">
        <v>-43.42</v>
      </c>
      <c r="F305" s="2">
        <v>-799.25800000000004</v>
      </c>
    </row>
    <row r="306" spans="1:6" hidden="1" x14ac:dyDescent="0.3">
      <c r="A306" s="1" t="s">
        <v>102</v>
      </c>
      <c r="B306" s="1">
        <v>1317</v>
      </c>
      <c r="C306" s="1" t="s">
        <v>89</v>
      </c>
      <c r="D306" s="2">
        <v>1186.9100000000001</v>
      </c>
      <c r="E306" s="2">
        <v>-35.453000000000003</v>
      </c>
      <c r="F306" s="2">
        <v>-693.59400000000005</v>
      </c>
    </row>
    <row r="307" spans="1:6" hidden="1" x14ac:dyDescent="0.3">
      <c r="A307" s="1" t="s">
        <v>102</v>
      </c>
      <c r="B307" s="1">
        <v>1318</v>
      </c>
      <c r="C307" s="1" t="s">
        <v>89</v>
      </c>
      <c r="D307" s="2">
        <v>1387.885</v>
      </c>
      <c r="E307" s="2">
        <v>-898.98</v>
      </c>
      <c r="F307" s="2">
        <v>-786.60299999999995</v>
      </c>
    </row>
    <row r="308" spans="1:6" hidden="1" x14ac:dyDescent="0.3">
      <c r="A308" s="1" t="s">
        <v>102</v>
      </c>
      <c r="B308" s="1">
        <v>1328</v>
      </c>
      <c r="C308" s="1" t="s">
        <v>89</v>
      </c>
      <c r="D308" s="2">
        <v>1210.123</v>
      </c>
      <c r="E308" s="2">
        <v>-41.945</v>
      </c>
      <c r="F308" s="2">
        <v>-690.48199999999997</v>
      </c>
    </row>
    <row r="309" spans="1:6" hidden="1" x14ac:dyDescent="0.3">
      <c r="A309" s="1" t="s">
        <v>102</v>
      </c>
      <c r="B309" s="1">
        <v>1331</v>
      </c>
      <c r="C309" s="1" t="s">
        <v>89</v>
      </c>
      <c r="D309" s="2">
        <v>1157.557</v>
      </c>
      <c r="E309" s="2">
        <v>-30.155000000000001</v>
      </c>
      <c r="F309" s="2">
        <v>-733.91200000000003</v>
      </c>
    </row>
    <row r="310" spans="1:6" hidden="1" x14ac:dyDescent="0.3">
      <c r="A310" s="1" t="s">
        <v>102</v>
      </c>
      <c r="B310" s="1">
        <v>1339</v>
      </c>
      <c r="C310" s="1" t="s">
        <v>89</v>
      </c>
      <c r="D310" s="2">
        <v>924.75699999999995</v>
      </c>
      <c r="E310" s="2">
        <v>-33.146000000000001</v>
      </c>
      <c r="F310" s="2">
        <v>-907.59500000000003</v>
      </c>
    </row>
    <row r="311" spans="1:6" hidden="1" x14ac:dyDescent="0.3">
      <c r="A311" s="1" t="s">
        <v>102</v>
      </c>
      <c r="B311" s="1">
        <v>1345</v>
      </c>
      <c r="C311" s="1" t="s">
        <v>89</v>
      </c>
      <c r="D311" s="2">
        <v>531.85599999999999</v>
      </c>
      <c r="E311" s="2">
        <v>-95.85</v>
      </c>
      <c r="F311" s="2">
        <v>-886.89800000000002</v>
      </c>
    </row>
    <row r="312" spans="1:6" hidden="1" x14ac:dyDescent="0.3">
      <c r="A312" s="1" t="s">
        <v>102</v>
      </c>
      <c r="B312" s="1">
        <v>1346</v>
      </c>
      <c r="C312" s="1" t="s">
        <v>89</v>
      </c>
      <c r="D312" s="2">
        <v>342.66800000000001</v>
      </c>
      <c r="E312" s="2">
        <v>-895.55899999999997</v>
      </c>
      <c r="F312" s="2">
        <v>-693.78899999999999</v>
      </c>
    </row>
    <row r="313" spans="1:6" hidden="1" x14ac:dyDescent="0.3">
      <c r="A313" s="1" t="s">
        <v>102</v>
      </c>
      <c r="B313" s="1">
        <v>1349</v>
      </c>
      <c r="C313" s="1" t="s">
        <v>89</v>
      </c>
      <c r="D313" s="2">
        <v>1040.0239999999999</v>
      </c>
      <c r="E313" s="2">
        <v>-42.646000000000001</v>
      </c>
      <c r="F313" s="2">
        <v>-808.12699999999995</v>
      </c>
    </row>
    <row r="314" spans="1:6" hidden="1" x14ac:dyDescent="0.3">
      <c r="A314" s="1" t="s">
        <v>102</v>
      </c>
      <c r="B314" s="1">
        <v>1350</v>
      </c>
      <c r="C314" s="1" t="s">
        <v>89</v>
      </c>
      <c r="D314" s="2">
        <v>-221.55</v>
      </c>
      <c r="E314" s="2">
        <v>-810.19100000000003</v>
      </c>
      <c r="F314" s="2">
        <v>-110.907</v>
      </c>
    </row>
    <row r="315" spans="1:6" hidden="1" x14ac:dyDescent="0.3">
      <c r="A315" s="1" t="s">
        <v>102</v>
      </c>
      <c r="B315" s="1">
        <v>1351</v>
      </c>
      <c r="C315" s="1" t="s">
        <v>89</v>
      </c>
      <c r="D315" s="2">
        <v>863.62900000000002</v>
      </c>
      <c r="E315" s="2">
        <v>-824.34100000000001</v>
      </c>
      <c r="F315" s="2">
        <v>-1165.847</v>
      </c>
    </row>
    <row r="316" spans="1:6" hidden="1" x14ac:dyDescent="0.3">
      <c r="A316" s="1" t="s">
        <v>102</v>
      </c>
      <c r="B316" s="1">
        <v>1358</v>
      </c>
      <c r="C316" s="1" t="s">
        <v>89</v>
      </c>
      <c r="D316" s="2">
        <v>1456.8589999999999</v>
      </c>
      <c r="E316" s="2">
        <v>-855.20299999999997</v>
      </c>
      <c r="F316" s="2">
        <v>-695.48599999999999</v>
      </c>
    </row>
    <row r="317" spans="1:6" hidden="1" x14ac:dyDescent="0.3">
      <c r="A317" s="1" t="s">
        <v>102</v>
      </c>
      <c r="B317" s="1">
        <v>1359</v>
      </c>
      <c r="C317" s="1" t="s">
        <v>89</v>
      </c>
      <c r="D317" s="2">
        <v>214.39</v>
      </c>
      <c r="E317" s="2">
        <v>-910.72400000000005</v>
      </c>
      <c r="F317" s="2">
        <v>-484.48599999999999</v>
      </c>
    </row>
    <row r="318" spans="1:6" hidden="1" x14ac:dyDescent="0.3">
      <c r="A318" s="1" t="s">
        <v>102</v>
      </c>
      <c r="B318" s="1">
        <v>1362</v>
      </c>
      <c r="C318" s="1" t="s">
        <v>89</v>
      </c>
      <c r="D318" s="2">
        <v>23.895</v>
      </c>
      <c r="E318" s="2">
        <v>-99.331000000000003</v>
      </c>
      <c r="F318" s="2">
        <v>-409.47199999999998</v>
      </c>
    </row>
    <row r="319" spans="1:6" hidden="1" x14ac:dyDescent="0.3">
      <c r="A319" s="1" t="s">
        <v>102</v>
      </c>
      <c r="B319" s="1">
        <v>1367</v>
      </c>
      <c r="C319" s="1" t="s">
        <v>89</v>
      </c>
      <c r="D319" s="2">
        <v>460.64299999999997</v>
      </c>
      <c r="E319" s="2">
        <v>-317.78699999999998</v>
      </c>
      <c r="F319" s="2">
        <v>-963.43700000000001</v>
      </c>
    </row>
    <row r="320" spans="1:6" hidden="1" x14ac:dyDescent="0.3">
      <c r="A320" s="1" t="s">
        <v>102</v>
      </c>
      <c r="B320" s="1">
        <v>1371</v>
      </c>
      <c r="C320" s="1" t="s">
        <v>89</v>
      </c>
      <c r="D320" s="2">
        <v>291.96800000000002</v>
      </c>
      <c r="E320" s="2">
        <v>-903.01599999999996</v>
      </c>
      <c r="F320" s="2">
        <v>-479.39699999999999</v>
      </c>
    </row>
    <row r="321" spans="1:6" hidden="1" x14ac:dyDescent="0.3">
      <c r="A321" s="1" t="s">
        <v>102</v>
      </c>
      <c r="B321" s="1">
        <v>1376</v>
      </c>
      <c r="C321" s="1" t="s">
        <v>89</v>
      </c>
      <c r="D321" s="2">
        <v>389.48200000000003</v>
      </c>
      <c r="E321" s="2">
        <v>-881.56600000000003</v>
      </c>
      <c r="F321" s="2">
        <v>-456.09500000000003</v>
      </c>
    </row>
    <row r="322" spans="1:6" hidden="1" x14ac:dyDescent="0.3">
      <c r="A322" s="1" t="s">
        <v>102</v>
      </c>
      <c r="B322" s="1">
        <v>1380</v>
      </c>
      <c r="C322" s="1" t="s">
        <v>89</v>
      </c>
      <c r="D322" s="2">
        <v>1290.145</v>
      </c>
      <c r="E322" s="2">
        <v>11.438000000000001</v>
      </c>
      <c r="F322" s="2">
        <v>-673.59699999999998</v>
      </c>
    </row>
    <row r="323" spans="1:6" hidden="1" x14ac:dyDescent="0.3">
      <c r="A323" s="1" t="s">
        <v>102</v>
      </c>
      <c r="B323" s="1">
        <v>1381</v>
      </c>
      <c r="C323" s="1" t="s">
        <v>89</v>
      </c>
      <c r="D323" s="2">
        <v>996.39700000000005</v>
      </c>
      <c r="E323" s="2">
        <v>-637.72799999999995</v>
      </c>
      <c r="F323" s="2">
        <v>-1147.1469999999999</v>
      </c>
    </row>
    <row r="324" spans="1:6" hidden="1" x14ac:dyDescent="0.3">
      <c r="A324" s="1" t="s">
        <v>102</v>
      </c>
      <c r="B324" s="1">
        <v>1385</v>
      </c>
      <c r="C324" s="1" t="s">
        <v>89</v>
      </c>
      <c r="D324" s="2">
        <v>936.14200000000005</v>
      </c>
      <c r="E324" s="2">
        <v>-35.279000000000003</v>
      </c>
      <c r="F324" s="2">
        <v>-904.35699999999997</v>
      </c>
    </row>
    <row r="325" spans="1:6" hidden="1" x14ac:dyDescent="0.3">
      <c r="A325" s="1" t="s">
        <v>102</v>
      </c>
      <c r="B325" s="1">
        <v>1391</v>
      </c>
      <c r="C325" s="1" t="s">
        <v>89</v>
      </c>
      <c r="D325" s="2">
        <v>1206.4549999999999</v>
      </c>
      <c r="E325" s="2">
        <v>-39.869</v>
      </c>
      <c r="F325" s="2">
        <v>-693.66899999999998</v>
      </c>
    </row>
    <row r="326" spans="1:6" hidden="1" x14ac:dyDescent="0.3">
      <c r="A326" s="1" t="s">
        <v>102</v>
      </c>
      <c r="B326" s="1">
        <v>1395</v>
      </c>
      <c r="C326" s="1" t="s">
        <v>89</v>
      </c>
      <c r="D326" s="2">
        <v>1192.2670000000001</v>
      </c>
      <c r="E326" s="2">
        <v>-42.621000000000002</v>
      </c>
      <c r="F326" s="2">
        <v>-718.81600000000003</v>
      </c>
    </row>
    <row r="327" spans="1:6" hidden="1" x14ac:dyDescent="0.3">
      <c r="A327" s="1" t="s">
        <v>102</v>
      </c>
      <c r="B327" s="1">
        <v>1403</v>
      </c>
      <c r="C327" s="1" t="s">
        <v>89</v>
      </c>
      <c r="D327" s="2">
        <v>1224.588</v>
      </c>
      <c r="E327" s="2">
        <v>1.119</v>
      </c>
      <c r="F327" s="2">
        <v>-597.923</v>
      </c>
    </row>
    <row r="328" spans="1:6" hidden="1" x14ac:dyDescent="0.3">
      <c r="A328" s="1" t="s">
        <v>102</v>
      </c>
      <c r="B328" s="1">
        <v>1408</v>
      </c>
      <c r="C328" s="1" t="s">
        <v>89</v>
      </c>
      <c r="D328" s="2">
        <v>345.86500000000001</v>
      </c>
      <c r="E328" s="2">
        <v>-425.91</v>
      </c>
      <c r="F328" s="2">
        <v>-1012.491</v>
      </c>
    </row>
    <row r="329" spans="1:6" hidden="1" x14ac:dyDescent="0.3">
      <c r="A329" s="1" t="s">
        <v>102</v>
      </c>
      <c r="B329" s="1">
        <v>1409</v>
      </c>
      <c r="C329" s="1" t="s">
        <v>89</v>
      </c>
      <c r="D329" s="2">
        <v>372.29500000000002</v>
      </c>
      <c r="E329" s="2">
        <v>-414.18400000000003</v>
      </c>
      <c r="F329" s="2">
        <v>-988.92399999999998</v>
      </c>
    </row>
    <row r="330" spans="1:6" hidden="1" x14ac:dyDescent="0.3">
      <c r="A330" s="1" t="s">
        <v>102</v>
      </c>
      <c r="B330" s="1">
        <v>1439</v>
      </c>
      <c r="C330" s="1" t="s">
        <v>89</v>
      </c>
      <c r="D330" s="2">
        <v>931.80700000000002</v>
      </c>
      <c r="E330" s="2">
        <v>-30.905000000000001</v>
      </c>
      <c r="F330" s="2">
        <v>-905.91800000000001</v>
      </c>
    </row>
    <row r="331" spans="1:6" hidden="1" x14ac:dyDescent="0.3">
      <c r="A331" s="1" t="s">
        <v>102</v>
      </c>
      <c r="B331" s="1">
        <v>1449</v>
      </c>
      <c r="C331" s="1" t="s">
        <v>89</v>
      </c>
      <c r="D331" s="2">
        <v>189.357</v>
      </c>
      <c r="E331" s="2">
        <v>-0.16400000000000001</v>
      </c>
      <c r="F331" s="2">
        <v>-192.517</v>
      </c>
    </row>
    <row r="332" spans="1:6" hidden="1" x14ac:dyDescent="0.3">
      <c r="A332" s="1" t="s">
        <v>102</v>
      </c>
      <c r="B332" s="1">
        <v>1451</v>
      </c>
      <c r="C332" s="1" t="s">
        <v>89</v>
      </c>
      <c r="D332" s="2">
        <v>1202.6030000000001</v>
      </c>
      <c r="E332" s="2">
        <v>-47.634999999999998</v>
      </c>
      <c r="F332" s="2">
        <v>-674.68499999999995</v>
      </c>
    </row>
    <row r="333" spans="1:6" hidden="1" x14ac:dyDescent="0.3">
      <c r="A333" s="1" t="s">
        <v>102</v>
      </c>
      <c r="B333" s="1">
        <v>1461</v>
      </c>
      <c r="C333" s="1" t="s">
        <v>89</v>
      </c>
      <c r="D333" s="2">
        <v>921.27300000000002</v>
      </c>
      <c r="E333" s="2">
        <v>-38.741999999999997</v>
      </c>
      <c r="F333" s="2">
        <v>-921.69</v>
      </c>
    </row>
    <row r="334" spans="1:6" hidden="1" x14ac:dyDescent="0.3">
      <c r="A334" s="1" t="s">
        <v>102</v>
      </c>
      <c r="B334" s="1">
        <v>1467</v>
      </c>
      <c r="C334" s="1" t="s">
        <v>89</v>
      </c>
      <c r="D334" s="2">
        <v>360.50799999999998</v>
      </c>
      <c r="E334" s="2">
        <v>-423.28500000000003</v>
      </c>
      <c r="F334" s="2">
        <v>-998.31700000000001</v>
      </c>
    </row>
    <row r="335" spans="1:6" hidden="1" x14ac:dyDescent="0.3">
      <c r="A335" s="1" t="s">
        <v>102</v>
      </c>
      <c r="B335" s="1">
        <v>1472</v>
      </c>
      <c r="C335" s="1" t="s">
        <v>89</v>
      </c>
      <c r="D335" s="2">
        <v>-50.497</v>
      </c>
      <c r="E335" s="2">
        <v>-319.01499999999999</v>
      </c>
      <c r="F335" s="2">
        <v>-909.154</v>
      </c>
    </row>
    <row r="336" spans="1:6" hidden="1" x14ac:dyDescent="0.3">
      <c r="A336" s="1" t="s">
        <v>102</v>
      </c>
      <c r="B336" s="1">
        <v>1479</v>
      </c>
      <c r="C336" s="1" t="s">
        <v>89</v>
      </c>
      <c r="D336" s="2">
        <v>1382.579</v>
      </c>
      <c r="E336" s="2">
        <v>-909.59</v>
      </c>
      <c r="F336" s="2">
        <v>-797.02499999999998</v>
      </c>
    </row>
    <row r="337" spans="1:6" hidden="1" x14ac:dyDescent="0.3">
      <c r="A337" s="1" t="s">
        <v>102</v>
      </c>
      <c r="B337" s="1">
        <v>1483</v>
      </c>
      <c r="C337" s="1" t="s">
        <v>89</v>
      </c>
      <c r="D337" s="2">
        <v>1181.914</v>
      </c>
      <c r="E337" s="2">
        <v>-22.327000000000002</v>
      </c>
      <c r="F337" s="2">
        <v>-693.02099999999996</v>
      </c>
    </row>
    <row r="338" spans="1:6" hidden="1" x14ac:dyDescent="0.3">
      <c r="A338" s="1" t="s">
        <v>102</v>
      </c>
      <c r="B338" s="1">
        <v>1519</v>
      </c>
      <c r="C338" s="1" t="s">
        <v>89</v>
      </c>
      <c r="D338" s="2">
        <v>933.65499999999997</v>
      </c>
      <c r="E338" s="2">
        <v>2.2010000000000001</v>
      </c>
      <c r="F338" s="2">
        <v>-981.99699999999996</v>
      </c>
    </row>
    <row r="339" spans="1:6" hidden="1" x14ac:dyDescent="0.3">
      <c r="A339" s="1" t="s">
        <v>102</v>
      </c>
      <c r="B339" s="1">
        <v>1528</v>
      </c>
      <c r="C339" s="1" t="s">
        <v>89</v>
      </c>
      <c r="D339" s="2">
        <v>146.81299999999999</v>
      </c>
      <c r="E339" s="2">
        <v>-309.55099999999999</v>
      </c>
      <c r="F339" s="2">
        <v>-381.56</v>
      </c>
    </row>
    <row r="340" spans="1:6" hidden="1" x14ac:dyDescent="0.3">
      <c r="A340" s="1" t="s">
        <v>102</v>
      </c>
      <c r="B340" s="1">
        <v>1540</v>
      </c>
      <c r="C340" s="1" t="s">
        <v>89</v>
      </c>
      <c r="D340" s="2">
        <v>395.529</v>
      </c>
      <c r="E340" s="2">
        <v>-904.56500000000005</v>
      </c>
      <c r="F340" s="2">
        <v>-648.98800000000006</v>
      </c>
    </row>
    <row r="341" spans="1:6" hidden="1" x14ac:dyDescent="0.3">
      <c r="A341" s="1" t="s">
        <v>102</v>
      </c>
      <c r="B341" s="1">
        <v>1543</v>
      </c>
      <c r="C341" s="1" t="s">
        <v>89</v>
      </c>
      <c r="D341" s="2">
        <v>934.15200000000004</v>
      </c>
      <c r="E341" s="2">
        <v>12.897</v>
      </c>
      <c r="F341" s="2">
        <v>-981.92</v>
      </c>
    </row>
    <row r="342" spans="1:6" hidden="1" x14ac:dyDescent="0.3">
      <c r="A342" s="1" t="s">
        <v>102</v>
      </c>
      <c r="B342" s="1">
        <v>1553</v>
      </c>
      <c r="C342" s="1" t="s">
        <v>89</v>
      </c>
      <c r="D342" s="2">
        <v>1215.28</v>
      </c>
      <c r="E342" s="2">
        <v>-643.78800000000001</v>
      </c>
      <c r="F342" s="2">
        <v>-959.08</v>
      </c>
    </row>
    <row r="343" spans="1:6" hidden="1" x14ac:dyDescent="0.3">
      <c r="A343" s="1" t="s">
        <v>102</v>
      </c>
      <c r="B343" s="1">
        <v>1555</v>
      </c>
      <c r="C343" s="1" t="s">
        <v>89</v>
      </c>
      <c r="D343" s="2">
        <v>389.89299999999997</v>
      </c>
      <c r="E343" s="2">
        <v>-904.33799999999997</v>
      </c>
      <c r="F343" s="2">
        <v>-653.37300000000005</v>
      </c>
    </row>
    <row r="344" spans="1:6" hidden="1" x14ac:dyDescent="0.3">
      <c r="A344" s="1" t="s">
        <v>102</v>
      </c>
      <c r="B344" s="1">
        <v>1567</v>
      </c>
      <c r="C344" s="1" t="s">
        <v>89</v>
      </c>
      <c r="D344" s="2">
        <v>920.20899999999995</v>
      </c>
      <c r="E344" s="2">
        <v>-22.21</v>
      </c>
      <c r="F344" s="2">
        <v>-910.17899999999997</v>
      </c>
    </row>
    <row r="345" spans="1:6" hidden="1" x14ac:dyDescent="0.3">
      <c r="A345" s="1" t="s">
        <v>102</v>
      </c>
      <c r="B345" s="1">
        <v>1582</v>
      </c>
      <c r="C345" s="1" t="s">
        <v>89</v>
      </c>
      <c r="D345" s="2">
        <v>1052.7090000000001</v>
      </c>
      <c r="E345" s="2">
        <v>12.332000000000001</v>
      </c>
      <c r="F345" s="2">
        <v>-878.86</v>
      </c>
    </row>
    <row r="346" spans="1:6" hidden="1" x14ac:dyDescent="0.3">
      <c r="A346" s="1" t="s">
        <v>102</v>
      </c>
      <c r="B346" s="1">
        <v>1589</v>
      </c>
      <c r="C346" s="1" t="s">
        <v>89</v>
      </c>
      <c r="D346" s="2">
        <v>932.27499999999998</v>
      </c>
      <c r="E346" s="2">
        <v>-35.131999999999998</v>
      </c>
      <c r="F346" s="2">
        <v>-932.904</v>
      </c>
    </row>
    <row r="347" spans="1:6" hidden="1" x14ac:dyDescent="0.3">
      <c r="A347" s="1" t="s">
        <v>102</v>
      </c>
      <c r="B347" s="1">
        <v>1590</v>
      </c>
      <c r="C347" s="1" t="s">
        <v>89</v>
      </c>
      <c r="D347" s="2">
        <v>25.491</v>
      </c>
      <c r="E347" s="2">
        <v>-864.44500000000005</v>
      </c>
      <c r="F347" s="2">
        <v>-739.75599999999997</v>
      </c>
    </row>
    <row r="348" spans="1:6" hidden="1" x14ac:dyDescent="0.3">
      <c r="A348" s="1" t="s">
        <v>102</v>
      </c>
      <c r="B348" s="1">
        <v>1609</v>
      </c>
      <c r="C348" s="1" t="s">
        <v>89</v>
      </c>
      <c r="D348" s="2">
        <v>849.59900000000005</v>
      </c>
      <c r="E348" s="2">
        <v>-961.28800000000001</v>
      </c>
      <c r="F348" s="2">
        <v>-1261.569</v>
      </c>
    </row>
    <row r="349" spans="1:6" hidden="1" x14ac:dyDescent="0.3">
      <c r="A349" s="1" t="s">
        <v>102</v>
      </c>
      <c r="B349" s="1">
        <v>1643</v>
      </c>
      <c r="C349" s="1" t="s">
        <v>89</v>
      </c>
      <c r="D349" s="2">
        <v>-75.534000000000006</v>
      </c>
      <c r="E349" s="2">
        <v>-310.09300000000002</v>
      </c>
      <c r="F349" s="2">
        <v>-934.995</v>
      </c>
    </row>
    <row r="350" spans="1:6" hidden="1" x14ac:dyDescent="0.3">
      <c r="A350" s="1" t="s">
        <v>102</v>
      </c>
      <c r="B350" s="1">
        <v>1645</v>
      </c>
      <c r="C350" s="1" t="s">
        <v>89</v>
      </c>
      <c r="D350" s="2">
        <v>918.79499999999996</v>
      </c>
      <c r="E350" s="2">
        <v>-92.457999999999998</v>
      </c>
      <c r="F350" s="2">
        <v>-560.32299999999998</v>
      </c>
    </row>
    <row r="351" spans="1:6" hidden="1" x14ac:dyDescent="0.3">
      <c r="A351" s="1" t="s">
        <v>102</v>
      </c>
      <c r="B351" s="1">
        <v>1649</v>
      </c>
      <c r="C351" s="1" t="s">
        <v>89</v>
      </c>
      <c r="D351" s="2">
        <v>2.9510000000000001</v>
      </c>
      <c r="E351" s="2">
        <v>-901.98099999999999</v>
      </c>
      <c r="F351" s="2">
        <v>121.872</v>
      </c>
    </row>
    <row r="352" spans="1:6" hidden="1" x14ac:dyDescent="0.3">
      <c r="A352" s="1" t="s">
        <v>102</v>
      </c>
      <c r="B352" s="1">
        <v>1655</v>
      </c>
      <c r="C352" s="1" t="s">
        <v>89</v>
      </c>
      <c r="D352" s="2">
        <v>546.21600000000001</v>
      </c>
      <c r="E352" s="2">
        <v>-19.829000000000001</v>
      </c>
      <c r="F352" s="2">
        <v>237.161</v>
      </c>
    </row>
    <row r="353" spans="1:6" hidden="1" x14ac:dyDescent="0.3">
      <c r="A353" s="1" t="s">
        <v>102</v>
      </c>
      <c r="B353" s="1">
        <v>1686</v>
      </c>
      <c r="C353" s="1" t="s">
        <v>89</v>
      </c>
      <c r="D353" s="2">
        <v>1034.374</v>
      </c>
      <c r="E353" s="2">
        <v>-27.183</v>
      </c>
      <c r="F353" s="2">
        <v>-612.87400000000002</v>
      </c>
    </row>
    <row r="354" spans="1:6" x14ac:dyDescent="0.3">
      <c r="A354" s="1" t="s">
        <v>107</v>
      </c>
      <c r="B354" s="1">
        <v>506</v>
      </c>
      <c r="C354" s="1" t="s">
        <v>82</v>
      </c>
      <c r="D354" s="2">
        <v>1148.3889999999999</v>
      </c>
      <c r="E354" s="2">
        <v>-23.059000000000001</v>
      </c>
      <c r="F354" s="2">
        <v>-460.411</v>
      </c>
    </row>
    <row r="355" spans="1:6" x14ac:dyDescent="0.3">
      <c r="A355" s="1" t="s">
        <v>107</v>
      </c>
      <c r="B355" s="1">
        <v>507</v>
      </c>
      <c r="C355" s="1" t="s">
        <v>83</v>
      </c>
      <c r="D355" s="2">
        <v>676.55899999999997</v>
      </c>
      <c r="E355" s="2">
        <v>-27.135000000000002</v>
      </c>
      <c r="F355" s="2">
        <v>-1093.74</v>
      </c>
    </row>
    <row r="356" spans="1:6" x14ac:dyDescent="0.3">
      <c r="A356" s="1" t="s">
        <v>107</v>
      </c>
      <c r="B356" s="1">
        <v>508</v>
      </c>
      <c r="C356" s="1" t="s">
        <v>103</v>
      </c>
      <c r="D356" s="2">
        <v>1370.498</v>
      </c>
      <c r="E356" s="2">
        <v>-734.37900000000002</v>
      </c>
      <c r="F356" s="2">
        <v>-581.16099999999994</v>
      </c>
    </row>
    <row r="357" spans="1:6" x14ac:dyDescent="0.3">
      <c r="A357" s="1" t="s">
        <v>107</v>
      </c>
      <c r="B357" s="1">
        <v>509</v>
      </c>
      <c r="C357" s="1" t="s">
        <v>97</v>
      </c>
      <c r="D357" s="2">
        <v>488.19799999999998</v>
      </c>
      <c r="E357" s="2">
        <v>-401.68299999999999</v>
      </c>
      <c r="F357" s="2">
        <v>439.625</v>
      </c>
    </row>
    <row r="358" spans="1:6" x14ac:dyDescent="0.3">
      <c r="A358" s="1" t="s">
        <v>107</v>
      </c>
      <c r="B358" s="1">
        <v>57</v>
      </c>
      <c r="C358" s="1" t="s">
        <v>91</v>
      </c>
      <c r="D358" s="2">
        <v>381.60300000000001</v>
      </c>
      <c r="E358" s="2">
        <v>-99.260999999999996</v>
      </c>
      <c r="F358" s="2">
        <v>-132.023</v>
      </c>
    </row>
    <row r="359" spans="1:6" x14ac:dyDescent="0.3">
      <c r="A359" s="1" t="s">
        <v>107</v>
      </c>
      <c r="B359" s="1">
        <v>87</v>
      </c>
      <c r="C359" s="1" t="s">
        <v>86</v>
      </c>
      <c r="D359" s="2">
        <v>1198.903</v>
      </c>
      <c r="E359" s="2">
        <v>-630.55899999999997</v>
      </c>
      <c r="F359" s="2">
        <v>-975.84299999999996</v>
      </c>
    </row>
    <row r="360" spans="1:6" x14ac:dyDescent="0.3">
      <c r="A360" s="1" t="s">
        <v>107</v>
      </c>
      <c r="B360" s="1">
        <v>92</v>
      </c>
      <c r="C360" s="1" t="s">
        <v>92</v>
      </c>
      <c r="D360" s="2">
        <v>532.56799999999998</v>
      </c>
      <c r="E360" s="2">
        <v>-94.347999999999999</v>
      </c>
      <c r="F360" s="2">
        <v>-862.17399999999998</v>
      </c>
    </row>
    <row r="361" spans="1:6" x14ac:dyDescent="0.3">
      <c r="A361" s="1" t="s">
        <v>107</v>
      </c>
      <c r="B361" s="1">
        <v>96</v>
      </c>
      <c r="C361" s="1" t="s">
        <v>84</v>
      </c>
      <c r="D361" s="2">
        <v>424.53300000000002</v>
      </c>
      <c r="E361" s="2">
        <v>2.9849999999999999</v>
      </c>
      <c r="F361" s="2">
        <v>304.23599999999999</v>
      </c>
    </row>
    <row r="362" spans="1:6" x14ac:dyDescent="0.3">
      <c r="A362" s="1" t="s">
        <v>102</v>
      </c>
      <c r="B362" s="1">
        <v>1003</v>
      </c>
      <c r="C362" s="1" t="s">
        <v>75</v>
      </c>
      <c r="D362" s="2">
        <v>575.23900000000003</v>
      </c>
      <c r="E362" s="2">
        <v>-53.573</v>
      </c>
      <c r="F362" s="2">
        <v>348.10599999999999</v>
      </c>
    </row>
    <row r="363" spans="1:6" x14ac:dyDescent="0.3">
      <c r="A363" s="1" t="s">
        <v>102</v>
      </c>
      <c r="B363" s="1">
        <v>1012</v>
      </c>
      <c r="C363" s="1" t="s">
        <v>76</v>
      </c>
      <c r="D363" s="2">
        <v>1296.3</v>
      </c>
      <c r="E363" s="2">
        <v>-48.923000000000002</v>
      </c>
      <c r="F363" s="2">
        <v>-488.63900000000001</v>
      </c>
    </row>
    <row r="364" spans="1:6" x14ac:dyDescent="0.3">
      <c r="A364" s="1" t="s">
        <v>102</v>
      </c>
      <c r="B364" s="1">
        <v>1047</v>
      </c>
      <c r="C364" s="1" t="s">
        <v>77</v>
      </c>
      <c r="D364" s="2">
        <v>604.21</v>
      </c>
      <c r="E364" s="2">
        <v>-47.222000000000001</v>
      </c>
      <c r="F364" s="2">
        <v>-1114.2760000000001</v>
      </c>
    </row>
    <row r="365" spans="1:6" x14ac:dyDescent="0.3">
      <c r="A365" s="1" t="s">
        <v>102</v>
      </c>
      <c r="B365" s="1">
        <v>1002</v>
      </c>
      <c r="C365" s="1" t="s">
        <v>78</v>
      </c>
      <c r="D365" s="2">
        <v>-116.108</v>
      </c>
      <c r="E365" s="2">
        <v>-51.790999999999997</v>
      </c>
      <c r="F365" s="2">
        <v>-282.327</v>
      </c>
    </row>
    <row r="366" spans="1:6" x14ac:dyDescent="0.3">
      <c r="A366" s="1" t="s">
        <v>102</v>
      </c>
      <c r="B366" s="1">
        <v>501</v>
      </c>
      <c r="C366" s="1" t="s">
        <v>94</v>
      </c>
      <c r="D366" s="2">
        <v>-0.48299999999999998</v>
      </c>
      <c r="E366" s="2">
        <v>-0.16200000000000001</v>
      </c>
      <c r="F366" s="2">
        <v>0.51300000000000001</v>
      </c>
    </row>
    <row r="367" spans="1:6" x14ac:dyDescent="0.3">
      <c r="A367" s="1" t="s">
        <v>102</v>
      </c>
      <c r="B367" s="1">
        <v>502</v>
      </c>
      <c r="C367" s="1" t="s">
        <v>85</v>
      </c>
      <c r="D367" s="2">
        <v>171.67699999999999</v>
      </c>
      <c r="E367" s="2">
        <v>-0.318</v>
      </c>
      <c r="F367" s="2">
        <v>-174.77799999999999</v>
      </c>
    </row>
    <row r="368" spans="1:6" x14ac:dyDescent="0.3">
      <c r="A368" s="1" t="s">
        <v>102</v>
      </c>
      <c r="B368" s="1">
        <v>503</v>
      </c>
      <c r="C368" s="1" t="s">
        <v>95</v>
      </c>
      <c r="D368" s="2">
        <v>170.24299999999999</v>
      </c>
      <c r="E368" s="2">
        <v>-0.84499999999999997</v>
      </c>
      <c r="F368" s="2">
        <v>-0.46500000000000002</v>
      </c>
    </row>
    <row r="369" spans="1:6" x14ac:dyDescent="0.3">
      <c r="A369" s="1" t="s">
        <v>102</v>
      </c>
      <c r="B369" s="1">
        <v>504</v>
      </c>
      <c r="C369" s="1" t="s">
        <v>87</v>
      </c>
      <c r="D369" s="2">
        <v>346.01499999999999</v>
      </c>
      <c r="E369" s="2">
        <v>-0.36699999999999999</v>
      </c>
      <c r="F369" s="2">
        <v>0.52700000000000002</v>
      </c>
    </row>
    <row r="370" spans="1:6" x14ac:dyDescent="0.3">
      <c r="A370" s="1" t="s">
        <v>102</v>
      </c>
      <c r="B370" s="1">
        <v>505</v>
      </c>
      <c r="C370" s="1" t="s">
        <v>96</v>
      </c>
      <c r="D370" s="2">
        <v>169.41399999999999</v>
      </c>
      <c r="E370" s="2">
        <v>-0.21</v>
      </c>
      <c r="F370" s="2">
        <v>175.66900000000001</v>
      </c>
    </row>
    <row r="371" spans="1:6" x14ac:dyDescent="0.3">
      <c r="A371" s="1" t="s">
        <v>102</v>
      </c>
      <c r="B371" s="1">
        <v>116</v>
      </c>
      <c r="C371" s="1" t="s">
        <v>81</v>
      </c>
      <c r="D371" s="2">
        <v>1010.925</v>
      </c>
      <c r="E371" s="2">
        <v>-627.68299999999999</v>
      </c>
      <c r="F371" s="2">
        <v>-1134.4580000000001</v>
      </c>
    </row>
    <row r="372" spans="1:6" x14ac:dyDescent="0.3">
      <c r="A372" s="1" t="s">
        <v>102</v>
      </c>
      <c r="B372" s="1">
        <v>121</v>
      </c>
      <c r="C372" s="1" t="s">
        <v>93</v>
      </c>
      <c r="D372" s="2">
        <v>634.86900000000003</v>
      </c>
      <c r="E372" s="2">
        <v>-100.497</v>
      </c>
      <c r="F372" s="2">
        <v>96.849000000000004</v>
      </c>
    </row>
    <row r="373" spans="1:6" x14ac:dyDescent="0.3">
      <c r="A373" s="1" t="s">
        <v>102</v>
      </c>
      <c r="B373" s="1">
        <v>13</v>
      </c>
      <c r="C373" s="1" t="s">
        <v>80</v>
      </c>
      <c r="D373" s="2">
        <v>279.37700000000001</v>
      </c>
      <c r="E373" s="2">
        <v>2.968</v>
      </c>
      <c r="F373" s="2">
        <v>201.37100000000001</v>
      </c>
    </row>
    <row r="374" spans="1:6" x14ac:dyDescent="0.3">
      <c r="A374" s="1" t="s">
        <v>102</v>
      </c>
      <c r="B374" s="1">
        <v>34</v>
      </c>
      <c r="C374" s="1" t="s">
        <v>74</v>
      </c>
      <c r="D374" s="2">
        <v>757.24</v>
      </c>
      <c r="E374" s="2">
        <v>-96.679000000000002</v>
      </c>
      <c r="F374" s="2">
        <v>-665.07399999999996</v>
      </c>
    </row>
    <row r="375" spans="1:6" x14ac:dyDescent="0.3">
      <c r="A375" s="1" t="s">
        <v>102</v>
      </c>
      <c r="B375" s="1">
        <v>37</v>
      </c>
      <c r="C375" s="1" t="s">
        <v>79</v>
      </c>
      <c r="D375" s="2">
        <v>32.749000000000002</v>
      </c>
      <c r="E375" s="2">
        <v>-99.551000000000002</v>
      </c>
      <c r="F375" s="2">
        <v>-390.04899999999998</v>
      </c>
    </row>
    <row r="376" spans="1:6" x14ac:dyDescent="0.3">
      <c r="A376" s="1" t="s">
        <v>102</v>
      </c>
      <c r="B376" s="1">
        <v>4</v>
      </c>
      <c r="C376" s="1" t="s">
        <v>88</v>
      </c>
      <c r="D376" s="2">
        <v>1044.7190000000001</v>
      </c>
      <c r="E376" s="2">
        <v>-515.42499999999995</v>
      </c>
      <c r="F376" s="2">
        <v>-1104.2850000000001</v>
      </c>
    </row>
    <row r="377" spans="1:6" x14ac:dyDescent="0.3">
      <c r="A377" s="1" t="s">
        <v>102</v>
      </c>
      <c r="B377" s="1">
        <v>42</v>
      </c>
      <c r="C377" s="1" t="s">
        <v>90</v>
      </c>
      <c r="D377" s="2">
        <v>1082.674</v>
      </c>
      <c r="E377" s="2">
        <v>-98.686000000000007</v>
      </c>
      <c r="F377" s="2">
        <v>-355.834</v>
      </c>
    </row>
    <row r="378" spans="1:6" x14ac:dyDescent="0.3">
      <c r="A378" s="1" t="s">
        <v>102</v>
      </c>
      <c r="B378" s="1">
        <v>506</v>
      </c>
      <c r="C378" s="1" t="s">
        <v>82</v>
      </c>
      <c r="D378" s="2">
        <v>1147.9680000000001</v>
      </c>
      <c r="E378" s="2">
        <v>-25.507999999999999</v>
      </c>
      <c r="F378" s="2">
        <v>-459.98599999999999</v>
      </c>
    </row>
    <row r="379" spans="1:6" x14ac:dyDescent="0.3">
      <c r="A379" s="1" t="s">
        <v>102</v>
      </c>
      <c r="B379" s="1">
        <v>507</v>
      </c>
      <c r="C379" s="1" t="s">
        <v>83</v>
      </c>
      <c r="D379" s="2">
        <v>676.10400000000004</v>
      </c>
      <c r="E379" s="2">
        <v>-29.919</v>
      </c>
      <c r="F379" s="2">
        <v>-1093.2950000000001</v>
      </c>
    </row>
    <row r="380" spans="1:6" x14ac:dyDescent="0.3">
      <c r="A380" s="1" t="s">
        <v>102</v>
      </c>
      <c r="B380" s="1">
        <v>508</v>
      </c>
      <c r="C380" s="1" t="s">
        <v>103</v>
      </c>
      <c r="D380" s="2">
        <v>1369.1020000000001</v>
      </c>
      <c r="E380" s="2">
        <v>-737.09100000000001</v>
      </c>
      <c r="F380" s="2">
        <v>-579.60799999999995</v>
      </c>
    </row>
    <row r="381" spans="1:6" x14ac:dyDescent="0.3">
      <c r="A381" s="1" t="s">
        <v>102</v>
      </c>
      <c r="B381" s="1">
        <v>509</v>
      </c>
      <c r="C381" s="1" t="s">
        <v>97</v>
      </c>
      <c r="D381" s="2">
        <v>487.27</v>
      </c>
      <c r="E381" s="2">
        <v>-401.637</v>
      </c>
      <c r="F381" s="2">
        <v>440.67500000000001</v>
      </c>
    </row>
    <row r="382" spans="1:6" x14ac:dyDescent="0.3">
      <c r="A382" s="1" t="s">
        <v>102</v>
      </c>
      <c r="B382" s="1">
        <v>57</v>
      </c>
      <c r="C382" s="1" t="s">
        <v>91</v>
      </c>
      <c r="D382" s="2">
        <v>381.101</v>
      </c>
      <c r="E382" s="2">
        <v>-100.015</v>
      </c>
      <c r="F382" s="2">
        <v>-131.41</v>
      </c>
    </row>
    <row r="383" spans="1:6" x14ac:dyDescent="0.3">
      <c r="A383" s="1" t="s">
        <v>102</v>
      </c>
      <c r="B383" s="1">
        <v>87</v>
      </c>
      <c r="C383" s="1" t="s">
        <v>86</v>
      </c>
      <c r="D383" s="2">
        <v>1197.5260000000001</v>
      </c>
      <c r="E383" s="2">
        <v>-634.04</v>
      </c>
      <c r="F383" s="2">
        <v>-974.37300000000005</v>
      </c>
    </row>
    <row r="384" spans="1:6" x14ac:dyDescent="0.3">
      <c r="A384" s="1" t="s">
        <v>102</v>
      </c>
      <c r="B384" s="1">
        <v>92</v>
      </c>
      <c r="C384" s="1" t="s">
        <v>92</v>
      </c>
      <c r="D384" s="2">
        <v>531.99599999999998</v>
      </c>
      <c r="E384" s="2">
        <v>-96.403000000000006</v>
      </c>
      <c r="F384" s="2">
        <v>-861.58500000000004</v>
      </c>
    </row>
    <row r="385" spans="1:6" hidden="1" x14ac:dyDescent="0.3">
      <c r="A385" s="1" t="s">
        <v>73</v>
      </c>
      <c r="B385" s="1">
        <v>1001</v>
      </c>
      <c r="C385" s="1" t="s">
        <v>89</v>
      </c>
      <c r="D385" s="2">
        <v>338.8811</v>
      </c>
      <c r="E385" s="2">
        <v>-5.4059999999999997</v>
      </c>
      <c r="F385" s="2">
        <v>103.88890000000001</v>
      </c>
    </row>
    <row r="386" spans="1:6" hidden="1" x14ac:dyDescent="0.3">
      <c r="A386" s="1" t="s">
        <v>73</v>
      </c>
      <c r="B386" s="1">
        <v>1002</v>
      </c>
      <c r="C386" s="1" t="s">
        <v>89</v>
      </c>
      <c r="D386" s="2">
        <v>263.3279</v>
      </c>
      <c r="E386" s="2">
        <v>-6.7503000000000002</v>
      </c>
      <c r="F386" s="2">
        <v>38.291400000000003</v>
      </c>
    </row>
    <row r="387" spans="1:6" hidden="1" x14ac:dyDescent="0.3">
      <c r="A387" s="1" t="s">
        <v>73</v>
      </c>
      <c r="B387" s="1">
        <v>1006</v>
      </c>
      <c r="C387" s="1" t="s">
        <v>89</v>
      </c>
      <c r="D387" s="2">
        <v>698.98180000000002</v>
      </c>
      <c r="E387" s="2">
        <v>-25.9345</v>
      </c>
      <c r="F387" s="2">
        <v>-1064.3244999999999</v>
      </c>
    </row>
    <row r="388" spans="1:6" hidden="1" x14ac:dyDescent="0.3">
      <c r="A388" s="1" t="s">
        <v>73</v>
      </c>
      <c r="B388" s="1">
        <v>1007</v>
      </c>
      <c r="C388" s="1" t="s">
        <v>89</v>
      </c>
      <c r="D388" s="2">
        <v>511.34730000000002</v>
      </c>
      <c r="E388" s="2">
        <v>-410.87650000000002</v>
      </c>
      <c r="F388" s="2">
        <v>411.66480000000001</v>
      </c>
    </row>
    <row r="389" spans="1:6" hidden="1" x14ac:dyDescent="0.3">
      <c r="A389" s="1" t="s">
        <v>73</v>
      </c>
      <c r="B389" s="1">
        <v>1010</v>
      </c>
      <c r="C389" s="1" t="s">
        <v>89</v>
      </c>
      <c r="D389" s="2">
        <v>1126.4973</v>
      </c>
      <c r="E389" s="2">
        <v>-23.01</v>
      </c>
      <c r="F389" s="2">
        <v>-490.17989999999998</v>
      </c>
    </row>
    <row r="390" spans="1:6" hidden="1" x14ac:dyDescent="0.3">
      <c r="A390" s="1" t="s">
        <v>73</v>
      </c>
      <c r="B390" s="1">
        <v>1012</v>
      </c>
      <c r="C390" s="1" t="s">
        <v>89</v>
      </c>
      <c r="D390" s="2">
        <v>590.18899999999996</v>
      </c>
      <c r="E390" s="2">
        <v>-332.68939999999998</v>
      </c>
      <c r="F390" s="2">
        <v>-1000.2275</v>
      </c>
    </row>
    <row r="391" spans="1:6" hidden="1" x14ac:dyDescent="0.3">
      <c r="A391" s="1" t="s">
        <v>73</v>
      </c>
      <c r="B391" s="1">
        <v>1016</v>
      </c>
      <c r="C391" s="1" t="s">
        <v>89</v>
      </c>
      <c r="D391" s="2">
        <v>496.5729</v>
      </c>
      <c r="E391" s="2">
        <v>-266.9153</v>
      </c>
      <c r="F391" s="2">
        <v>-644.72799999999995</v>
      </c>
    </row>
    <row r="392" spans="1:6" hidden="1" x14ac:dyDescent="0.3">
      <c r="A392" s="1" t="s">
        <v>73</v>
      </c>
      <c r="B392" s="1">
        <v>1018</v>
      </c>
      <c r="C392" s="1" t="s">
        <v>89</v>
      </c>
      <c r="D392" s="2">
        <v>357.20150000000001</v>
      </c>
      <c r="E392" s="2">
        <v>-99.226299999999995</v>
      </c>
      <c r="F392" s="2">
        <v>-129.37520000000001</v>
      </c>
    </row>
    <row r="393" spans="1:6" hidden="1" x14ac:dyDescent="0.3">
      <c r="A393" s="1" t="s">
        <v>73</v>
      </c>
      <c r="B393" s="1">
        <v>1020</v>
      </c>
      <c r="C393" s="1" t="s">
        <v>89</v>
      </c>
      <c r="D393" s="2">
        <v>257.91829999999999</v>
      </c>
      <c r="E393" s="2">
        <v>2.9590999999999998</v>
      </c>
      <c r="F393" s="2">
        <v>188.863</v>
      </c>
    </row>
    <row r="394" spans="1:6" hidden="1" x14ac:dyDescent="0.3">
      <c r="A394" s="1" t="s">
        <v>73</v>
      </c>
      <c r="B394" s="1">
        <v>1021</v>
      </c>
      <c r="C394" s="1" t="s">
        <v>89</v>
      </c>
      <c r="D394" s="2">
        <v>1082.6839</v>
      </c>
      <c r="E394" s="2">
        <v>-95.927999999999997</v>
      </c>
      <c r="F394" s="2">
        <v>-381.36369999999999</v>
      </c>
    </row>
    <row r="395" spans="1:6" hidden="1" x14ac:dyDescent="0.3">
      <c r="A395" s="1" t="s">
        <v>73</v>
      </c>
      <c r="B395" s="1">
        <v>1026</v>
      </c>
      <c r="C395" s="1" t="s">
        <v>89</v>
      </c>
      <c r="D395" s="2">
        <v>-152.35749999999999</v>
      </c>
      <c r="E395" s="2">
        <v>-592.31110000000001</v>
      </c>
      <c r="F395" s="2">
        <v>-645.19359999999995</v>
      </c>
    </row>
    <row r="396" spans="1:6" hidden="1" x14ac:dyDescent="0.3">
      <c r="A396" s="1" t="s">
        <v>73</v>
      </c>
      <c r="B396" s="1">
        <v>1027</v>
      </c>
      <c r="C396" s="1" t="s">
        <v>89</v>
      </c>
      <c r="D396" s="2">
        <v>228.69630000000001</v>
      </c>
      <c r="E396" s="2">
        <v>-588.07169999999996</v>
      </c>
      <c r="F396" s="2">
        <v>-1077.6427000000001</v>
      </c>
    </row>
    <row r="397" spans="1:6" hidden="1" x14ac:dyDescent="0.3">
      <c r="A397" s="1" t="s">
        <v>73</v>
      </c>
      <c r="B397" s="1">
        <v>1029</v>
      </c>
      <c r="C397" s="1" t="s">
        <v>89</v>
      </c>
      <c r="D397" s="2">
        <v>1346.8945000000001</v>
      </c>
      <c r="E397" s="2">
        <v>-725.05849999999998</v>
      </c>
      <c r="F397" s="2">
        <v>-554.60929999999996</v>
      </c>
    </row>
    <row r="398" spans="1:6" hidden="1" x14ac:dyDescent="0.3">
      <c r="A398" s="1" t="s">
        <v>73</v>
      </c>
      <c r="B398" s="1">
        <v>1030</v>
      </c>
      <c r="C398" s="1" t="s">
        <v>89</v>
      </c>
      <c r="D398" s="2">
        <v>-1218.1496999999999</v>
      </c>
      <c r="E398" s="2">
        <v>1199.1992</v>
      </c>
      <c r="F398" s="2">
        <v>38.972099999999998</v>
      </c>
    </row>
    <row r="399" spans="1:6" hidden="1" x14ac:dyDescent="0.3">
      <c r="A399" s="1" t="s">
        <v>73</v>
      </c>
      <c r="B399" s="1">
        <v>1031</v>
      </c>
      <c r="C399" s="1" t="s">
        <v>89</v>
      </c>
      <c r="D399" s="2">
        <v>-1190.1415</v>
      </c>
      <c r="E399" s="2">
        <v>1266.2056</v>
      </c>
      <c r="F399" s="2">
        <v>27.055399999999999</v>
      </c>
    </row>
    <row r="400" spans="1:6" hidden="1" x14ac:dyDescent="0.3">
      <c r="A400" s="1" t="s">
        <v>73</v>
      </c>
      <c r="B400" s="1">
        <v>1032</v>
      </c>
      <c r="C400" s="1" t="s">
        <v>89</v>
      </c>
      <c r="D400" s="2">
        <v>-1198.4457</v>
      </c>
      <c r="E400" s="2">
        <v>1260.3364999999999</v>
      </c>
      <c r="F400" s="2">
        <v>19.985399999999998</v>
      </c>
    </row>
    <row r="401" spans="1:6" hidden="1" x14ac:dyDescent="0.3">
      <c r="A401" s="1" t="s">
        <v>73</v>
      </c>
      <c r="B401" s="1">
        <v>1033</v>
      </c>
      <c r="C401" s="1" t="s">
        <v>89</v>
      </c>
      <c r="D401" s="2">
        <v>-1199.3062</v>
      </c>
      <c r="E401" s="2">
        <v>1244.5600999999999</v>
      </c>
      <c r="F401" s="2">
        <v>31.442299999999999</v>
      </c>
    </row>
    <row r="402" spans="1:6" hidden="1" x14ac:dyDescent="0.3">
      <c r="A402" s="1" t="s">
        <v>73</v>
      </c>
      <c r="B402" s="1">
        <v>1035</v>
      </c>
      <c r="C402" s="1" t="s">
        <v>89</v>
      </c>
      <c r="D402" s="2">
        <v>-1208.8963000000001</v>
      </c>
      <c r="E402" s="2">
        <v>1222.0803000000001</v>
      </c>
      <c r="F402" s="2">
        <v>34.819499999999998</v>
      </c>
    </row>
    <row r="403" spans="1:6" hidden="1" x14ac:dyDescent="0.3">
      <c r="A403" s="1" t="s">
        <v>73</v>
      </c>
      <c r="B403" s="1">
        <v>1036</v>
      </c>
      <c r="C403" s="1" t="s">
        <v>89</v>
      </c>
      <c r="D403" s="2">
        <v>-1203.0509</v>
      </c>
      <c r="E403" s="2">
        <v>1228.1226999999999</v>
      </c>
      <c r="F403" s="2">
        <v>43.7669</v>
      </c>
    </row>
    <row r="404" spans="1:6" hidden="1" x14ac:dyDescent="0.3">
      <c r="A404" s="1" t="s">
        <v>73</v>
      </c>
      <c r="B404" s="1">
        <v>1038</v>
      </c>
      <c r="C404" s="1" t="s">
        <v>89</v>
      </c>
      <c r="D404" s="2">
        <v>-1188.9331999999999</v>
      </c>
      <c r="E404" s="2">
        <v>1282.0866000000001</v>
      </c>
      <c r="F404" s="2">
        <v>16.387899999999998</v>
      </c>
    </row>
    <row r="405" spans="1:6" hidden="1" x14ac:dyDescent="0.3">
      <c r="A405" s="1" t="s">
        <v>73</v>
      </c>
      <c r="B405" s="1">
        <v>1039</v>
      </c>
      <c r="C405" s="1" t="s">
        <v>89</v>
      </c>
      <c r="D405" s="2">
        <v>-1200.2792999999999</v>
      </c>
      <c r="E405" s="2">
        <v>1277.8629000000001</v>
      </c>
      <c r="F405" s="2">
        <v>10.3432</v>
      </c>
    </row>
    <row r="406" spans="1:6" hidden="1" x14ac:dyDescent="0.3">
      <c r="A406" s="1" t="s">
        <v>73</v>
      </c>
      <c r="B406" s="1">
        <v>1043</v>
      </c>
      <c r="C406" s="1" t="s">
        <v>89</v>
      </c>
      <c r="D406" s="2">
        <v>1355.8955000000001</v>
      </c>
      <c r="E406" s="2">
        <v>-722.12620000000004</v>
      </c>
      <c r="F406" s="2">
        <v>-580.4588</v>
      </c>
    </row>
    <row r="407" spans="1:6" hidden="1" x14ac:dyDescent="0.3">
      <c r="A407" s="1" t="s">
        <v>73</v>
      </c>
      <c r="B407" s="1">
        <v>1045</v>
      </c>
      <c r="C407" s="1" t="s">
        <v>89</v>
      </c>
      <c r="D407" s="2">
        <v>997.29280000000006</v>
      </c>
      <c r="E407" s="2">
        <v>-638.66520000000003</v>
      </c>
      <c r="F407" s="2">
        <v>-1149.6368</v>
      </c>
    </row>
    <row r="408" spans="1:6" hidden="1" x14ac:dyDescent="0.3">
      <c r="A408" s="1" t="s">
        <v>73</v>
      </c>
      <c r="B408" s="1">
        <v>1047</v>
      </c>
      <c r="C408" s="1" t="s">
        <v>89</v>
      </c>
      <c r="D408" s="2">
        <v>-1193.0745999999999</v>
      </c>
      <c r="E408" s="2">
        <v>1251.8422</v>
      </c>
      <c r="F408" s="2">
        <v>41.829700000000003</v>
      </c>
    </row>
    <row r="409" spans="1:6" hidden="1" x14ac:dyDescent="0.3">
      <c r="A409" s="1" t="s">
        <v>73</v>
      </c>
      <c r="B409" s="1">
        <v>1048</v>
      </c>
      <c r="C409" s="1" t="s">
        <v>89</v>
      </c>
      <c r="D409" s="2">
        <v>-1206.01</v>
      </c>
      <c r="E409" s="2">
        <v>1215.663</v>
      </c>
      <c r="F409" s="2">
        <v>59.234000000000002</v>
      </c>
    </row>
    <row r="410" spans="1:6" hidden="1" x14ac:dyDescent="0.3">
      <c r="A410" s="1" t="s">
        <v>73</v>
      </c>
      <c r="B410" s="1">
        <v>1049</v>
      </c>
      <c r="C410" s="1" t="s">
        <v>89</v>
      </c>
      <c r="D410" s="2">
        <v>-1211.6916000000001</v>
      </c>
      <c r="E410" s="2">
        <v>1207.2674999999999</v>
      </c>
      <c r="F410" s="2">
        <v>48.195799999999998</v>
      </c>
    </row>
    <row r="411" spans="1:6" hidden="1" x14ac:dyDescent="0.3">
      <c r="A411" s="1" t="s">
        <v>73</v>
      </c>
      <c r="B411" s="1">
        <v>1051</v>
      </c>
      <c r="C411" s="1" t="s">
        <v>89</v>
      </c>
      <c r="D411" s="2">
        <v>1041.1159</v>
      </c>
      <c r="E411" s="2">
        <v>-38.450699999999998</v>
      </c>
      <c r="F411" s="2">
        <v>-808.85770000000002</v>
      </c>
    </row>
    <row r="412" spans="1:6" hidden="1" x14ac:dyDescent="0.3">
      <c r="A412" s="1" t="s">
        <v>73</v>
      </c>
      <c r="B412" s="1">
        <v>1052</v>
      </c>
      <c r="C412" s="1" t="s">
        <v>89</v>
      </c>
      <c r="D412" s="2">
        <v>1332.3787</v>
      </c>
      <c r="E412" s="2">
        <v>-714.15710000000001</v>
      </c>
      <c r="F412" s="2">
        <v>-550.22260000000006</v>
      </c>
    </row>
    <row r="413" spans="1:6" hidden="1" x14ac:dyDescent="0.3">
      <c r="A413" s="1" t="s">
        <v>73</v>
      </c>
      <c r="B413" s="1">
        <v>1053</v>
      </c>
      <c r="C413" s="1" t="s">
        <v>89</v>
      </c>
      <c r="D413" s="2">
        <v>-1197.4091000000001</v>
      </c>
      <c r="E413" s="2">
        <v>1238.3948</v>
      </c>
      <c r="F413" s="2">
        <v>56.053400000000003</v>
      </c>
    </row>
    <row r="414" spans="1:6" hidden="1" x14ac:dyDescent="0.3">
      <c r="A414" s="1" t="s">
        <v>73</v>
      </c>
      <c r="B414" s="1">
        <v>1055</v>
      </c>
      <c r="C414" s="1" t="s">
        <v>89</v>
      </c>
      <c r="D414" s="2">
        <v>-1190.232</v>
      </c>
      <c r="E414" s="2">
        <v>1298.7372</v>
      </c>
      <c r="F414" s="2">
        <v>7.4541000000000004</v>
      </c>
    </row>
    <row r="415" spans="1:6" hidden="1" x14ac:dyDescent="0.3">
      <c r="A415" s="1" t="s">
        <v>73</v>
      </c>
      <c r="B415" s="1">
        <v>1062</v>
      </c>
      <c r="C415" s="1" t="s">
        <v>89</v>
      </c>
      <c r="D415" s="2">
        <v>986.58780000000002</v>
      </c>
      <c r="E415" s="2">
        <v>-1231.2040999999999</v>
      </c>
      <c r="F415" s="2">
        <v>-1139.6636000000001</v>
      </c>
    </row>
    <row r="416" spans="1:6" hidden="1" x14ac:dyDescent="0.3">
      <c r="A416" s="1" t="s">
        <v>73</v>
      </c>
      <c r="B416" s="1">
        <v>1068</v>
      </c>
      <c r="C416" s="1" t="s">
        <v>89</v>
      </c>
      <c r="D416" s="2">
        <v>733.26859999999999</v>
      </c>
      <c r="E416" s="2">
        <v>-94.385599999999997</v>
      </c>
      <c r="F416" s="2">
        <v>-664.13160000000005</v>
      </c>
    </row>
    <row r="417" spans="1:6" x14ac:dyDescent="0.3">
      <c r="A417" s="1" t="s">
        <v>102</v>
      </c>
      <c r="B417" s="1">
        <v>96</v>
      </c>
      <c r="C417" s="1" t="s">
        <v>84</v>
      </c>
      <c r="D417" s="2">
        <v>424.245</v>
      </c>
      <c r="E417" s="2">
        <v>2.9089999999999998</v>
      </c>
      <c r="F417" s="2">
        <v>304.62299999999999</v>
      </c>
    </row>
    <row r="418" spans="1:6" x14ac:dyDescent="0.3">
      <c r="A418" s="1" t="s">
        <v>73</v>
      </c>
      <c r="B418" s="1">
        <v>1008</v>
      </c>
      <c r="C418" s="1" t="s">
        <v>75</v>
      </c>
      <c r="D418" s="2">
        <v>575.51379999999995</v>
      </c>
      <c r="E418" s="2">
        <v>-53.621099999999998</v>
      </c>
      <c r="F418" s="2">
        <v>347.23570000000001</v>
      </c>
    </row>
    <row r="419" spans="1:6" x14ac:dyDescent="0.3">
      <c r="A419" s="1" t="s">
        <v>73</v>
      </c>
      <c r="B419" s="1">
        <v>1011</v>
      </c>
      <c r="C419" s="1" t="s">
        <v>76</v>
      </c>
      <c r="D419" s="2">
        <v>1296.9179999999999</v>
      </c>
      <c r="E419" s="2">
        <v>-45.9604</v>
      </c>
      <c r="F419" s="2">
        <v>-489.16449999999998</v>
      </c>
    </row>
    <row r="420" spans="1:6" x14ac:dyDescent="0.3">
      <c r="A420" s="1" t="s">
        <v>73</v>
      </c>
      <c r="B420" s="1">
        <v>1024</v>
      </c>
      <c r="C420" s="1" t="s">
        <v>77</v>
      </c>
      <c r="D420" s="2">
        <v>605.06370000000004</v>
      </c>
      <c r="E420" s="2">
        <v>-43.479500000000002</v>
      </c>
      <c r="F420" s="2">
        <v>-1115.0599</v>
      </c>
    </row>
    <row r="421" spans="1:6" x14ac:dyDescent="0.3">
      <c r="A421" s="1" t="s">
        <v>73</v>
      </c>
      <c r="B421" s="1">
        <v>1003</v>
      </c>
      <c r="C421" s="1" t="s">
        <v>78</v>
      </c>
      <c r="D421" s="2">
        <v>-115.5342</v>
      </c>
      <c r="E421" s="2">
        <v>-50.821599999999997</v>
      </c>
      <c r="F421" s="2">
        <v>-283.488</v>
      </c>
    </row>
    <row r="422" spans="1:6" x14ac:dyDescent="0.3">
      <c r="A422" s="1" t="s">
        <v>73</v>
      </c>
      <c r="B422" s="1">
        <v>501</v>
      </c>
      <c r="C422" s="1" t="s">
        <v>94</v>
      </c>
      <c r="D422" s="2">
        <v>-4.2999999999999997E-2</v>
      </c>
      <c r="E422" s="2">
        <v>5.2400000000000002E-2</v>
      </c>
      <c r="F422" s="2">
        <v>-0.4531</v>
      </c>
    </row>
    <row r="423" spans="1:6" x14ac:dyDescent="0.3">
      <c r="A423" s="1" t="s">
        <v>73</v>
      </c>
      <c r="B423" s="1">
        <v>502</v>
      </c>
      <c r="C423" s="1" t="s">
        <v>85</v>
      </c>
      <c r="D423" s="2">
        <v>172.16810000000001</v>
      </c>
      <c r="E423" s="2">
        <v>0.58689999999999998</v>
      </c>
      <c r="F423" s="2">
        <v>-175.65469999999999</v>
      </c>
    </row>
    <row r="424" spans="1:6" x14ac:dyDescent="0.3">
      <c r="A424" s="1" t="s">
        <v>73</v>
      </c>
      <c r="B424" s="1">
        <v>503</v>
      </c>
      <c r="C424" s="1" t="s">
        <v>95</v>
      </c>
      <c r="D424" s="2">
        <v>170.66560000000001</v>
      </c>
      <c r="E424" s="2">
        <v>-0.43719999999999998</v>
      </c>
      <c r="F424" s="2">
        <v>-1.3547</v>
      </c>
    </row>
    <row r="425" spans="1:6" x14ac:dyDescent="0.3">
      <c r="A425" s="1" t="s">
        <v>73</v>
      </c>
      <c r="B425" s="1">
        <v>504</v>
      </c>
      <c r="C425" s="1" t="s">
        <v>87</v>
      </c>
      <c r="D425" s="2">
        <v>346.41950000000003</v>
      </c>
      <c r="E425" s="2">
        <v>0.1522</v>
      </c>
      <c r="F425" s="2">
        <v>-0.28349999999999997</v>
      </c>
    </row>
    <row r="426" spans="1:6" x14ac:dyDescent="0.3">
      <c r="A426" s="1" t="s">
        <v>73</v>
      </c>
      <c r="B426" s="1">
        <v>505</v>
      </c>
      <c r="C426" s="1" t="s">
        <v>96</v>
      </c>
      <c r="D426" s="2">
        <v>169.76240000000001</v>
      </c>
      <c r="E426" s="2">
        <v>-0.27800000000000002</v>
      </c>
      <c r="F426" s="2">
        <v>174.76390000000001</v>
      </c>
    </row>
    <row r="427" spans="1:6" x14ac:dyDescent="0.3">
      <c r="A427" s="1" t="s">
        <v>73</v>
      </c>
      <c r="B427" s="1">
        <v>116</v>
      </c>
      <c r="C427" s="1" t="s">
        <v>81</v>
      </c>
      <c r="D427" s="2">
        <v>1012.3197</v>
      </c>
      <c r="E427" s="2">
        <v>-623.40380000000005</v>
      </c>
      <c r="F427" s="2">
        <v>-1136.4845</v>
      </c>
    </row>
    <row r="428" spans="1:6" x14ac:dyDescent="0.3">
      <c r="A428" s="1" t="s">
        <v>73</v>
      </c>
      <c r="B428" s="1">
        <v>121</v>
      </c>
      <c r="C428" s="1" t="s">
        <v>93</v>
      </c>
      <c r="D428" s="2">
        <v>635.27350000000001</v>
      </c>
      <c r="E428" s="2">
        <v>-99.819699999999997</v>
      </c>
      <c r="F428" s="2">
        <v>95.876000000000005</v>
      </c>
    </row>
    <row r="429" spans="1:6" x14ac:dyDescent="0.3">
      <c r="A429" s="1" t="s">
        <v>73</v>
      </c>
      <c r="B429" s="1">
        <v>13</v>
      </c>
      <c r="C429" s="1" t="s">
        <v>80</v>
      </c>
      <c r="D429" s="2">
        <v>279.69909999999999</v>
      </c>
      <c r="E429" s="2">
        <v>2.9302000000000001</v>
      </c>
      <c r="F429" s="2">
        <v>200.53129999999999</v>
      </c>
    </row>
    <row r="430" spans="1:6" x14ac:dyDescent="0.3">
      <c r="A430" s="1" t="s">
        <v>73</v>
      </c>
      <c r="B430" s="1">
        <v>34</v>
      </c>
      <c r="C430" s="1" t="s">
        <v>74</v>
      </c>
      <c r="D430" s="2">
        <v>757.93849999999998</v>
      </c>
      <c r="E430" s="2">
        <v>-93.867000000000004</v>
      </c>
      <c r="F430" s="2">
        <v>-665.94290000000001</v>
      </c>
    </row>
    <row r="431" spans="1:6" x14ac:dyDescent="0.3">
      <c r="A431" s="1" t="s">
        <v>73</v>
      </c>
      <c r="B431" s="1">
        <v>37</v>
      </c>
      <c r="C431" s="1" t="s">
        <v>79</v>
      </c>
      <c r="D431" s="2">
        <v>33.4101</v>
      </c>
      <c r="E431" s="2">
        <v>-98.252600000000001</v>
      </c>
      <c r="F431" s="2">
        <v>-391.2774</v>
      </c>
    </row>
    <row r="432" spans="1:6" x14ac:dyDescent="0.3">
      <c r="A432" s="1" t="s">
        <v>73</v>
      </c>
      <c r="B432" s="1">
        <v>4</v>
      </c>
      <c r="C432" s="1" t="s">
        <v>88</v>
      </c>
      <c r="D432" s="2">
        <v>1046.0423000000001</v>
      </c>
      <c r="E432" s="2">
        <v>-511.20690000000002</v>
      </c>
      <c r="F432" s="2">
        <v>-1106.1065000000001</v>
      </c>
    </row>
    <row r="433" spans="1:6" x14ac:dyDescent="0.3">
      <c r="A433" s="1" t="s">
        <v>73</v>
      </c>
      <c r="B433" s="1">
        <v>42</v>
      </c>
      <c r="C433" s="1" t="s">
        <v>90</v>
      </c>
      <c r="D433" s="2">
        <v>1083.2746</v>
      </c>
      <c r="E433" s="2">
        <v>-96.309700000000007</v>
      </c>
      <c r="F433" s="2">
        <v>-356.6019</v>
      </c>
    </row>
    <row r="434" spans="1:6" x14ac:dyDescent="0.3">
      <c r="A434" s="1" t="s">
        <v>73</v>
      </c>
      <c r="B434" s="1">
        <v>506</v>
      </c>
      <c r="C434" s="1" t="s">
        <v>82</v>
      </c>
      <c r="D434" s="2">
        <v>1148.5925999999999</v>
      </c>
      <c r="E434" s="2">
        <v>-22.802199999999999</v>
      </c>
      <c r="F434" s="2">
        <v>-460.52109999999999</v>
      </c>
    </row>
    <row r="435" spans="1:6" x14ac:dyDescent="0.3">
      <c r="A435" s="1" t="s">
        <v>73</v>
      </c>
      <c r="B435" s="1">
        <v>507</v>
      </c>
      <c r="C435" s="1" t="s">
        <v>83</v>
      </c>
      <c r="D435" s="2">
        <v>676.8424</v>
      </c>
      <c r="E435" s="2">
        <v>-26.1083</v>
      </c>
      <c r="F435" s="2">
        <v>-1093.9142999999999</v>
      </c>
    </row>
    <row r="436" spans="1:6" x14ac:dyDescent="0.3">
      <c r="A436" s="1" t="s">
        <v>73</v>
      </c>
      <c r="B436" s="1">
        <v>509</v>
      </c>
      <c r="C436" s="1" t="s">
        <v>97</v>
      </c>
      <c r="D436" s="2">
        <v>487.87270000000001</v>
      </c>
      <c r="E436" s="2">
        <v>-402.04880000000003</v>
      </c>
      <c r="F436" s="2">
        <v>438.76740000000001</v>
      </c>
    </row>
    <row r="437" spans="1:6" x14ac:dyDescent="0.3">
      <c r="A437" s="1" t="s">
        <v>73</v>
      </c>
      <c r="B437" s="1">
        <v>57</v>
      </c>
      <c r="C437" s="1" t="s">
        <v>91</v>
      </c>
      <c r="D437" s="2">
        <v>381.63</v>
      </c>
      <c r="E437" s="2">
        <v>-99.013499999999993</v>
      </c>
      <c r="F437" s="2">
        <v>-132.49549999999999</v>
      </c>
    </row>
    <row r="438" spans="1:6" x14ac:dyDescent="0.3">
      <c r="A438" s="1" t="s">
        <v>73</v>
      </c>
      <c r="B438" s="1">
        <v>87</v>
      </c>
      <c r="C438" s="1" t="s">
        <v>86</v>
      </c>
      <c r="D438" s="2">
        <v>1198.8471999999999</v>
      </c>
      <c r="E438" s="2">
        <v>-629.93629999999996</v>
      </c>
      <c r="F438" s="2">
        <v>-976.36180000000002</v>
      </c>
    </row>
    <row r="439" spans="1:6" x14ac:dyDescent="0.3">
      <c r="A439" s="1" t="s">
        <v>73</v>
      </c>
      <c r="B439" s="1">
        <v>92</v>
      </c>
      <c r="C439" s="1" t="s">
        <v>92</v>
      </c>
      <c r="D439" s="2">
        <v>532.80229999999995</v>
      </c>
      <c r="E439" s="2">
        <v>-93.417699999999996</v>
      </c>
      <c r="F439" s="2">
        <v>-862.55020000000002</v>
      </c>
    </row>
    <row r="440" spans="1:6" x14ac:dyDescent="0.3">
      <c r="A440" s="1" t="s">
        <v>73</v>
      </c>
      <c r="B440" s="1">
        <v>96</v>
      </c>
      <c r="C440" s="1" t="s">
        <v>84</v>
      </c>
      <c r="D440" s="2">
        <v>424.50970000000001</v>
      </c>
      <c r="E440" s="2">
        <v>2.7751999999999999</v>
      </c>
      <c r="F440" s="2">
        <v>303.8399</v>
      </c>
    </row>
    <row r="441" spans="1:6" x14ac:dyDescent="0.3">
      <c r="A441" s="1" t="s">
        <v>108</v>
      </c>
      <c r="B441" s="1">
        <v>1002</v>
      </c>
      <c r="C441" s="1" t="s">
        <v>75</v>
      </c>
      <c r="D441" s="2">
        <v>575.60109999999997</v>
      </c>
      <c r="E441" s="2">
        <v>-52.7121</v>
      </c>
      <c r="F441" s="2">
        <v>347.5188</v>
      </c>
    </row>
    <row r="442" spans="1:6" x14ac:dyDescent="0.3">
      <c r="A442" s="1" t="s">
        <v>108</v>
      </c>
      <c r="B442" s="1">
        <v>1009</v>
      </c>
      <c r="C442" s="1" t="s">
        <v>76</v>
      </c>
      <c r="D442" s="2">
        <v>1296.8766000000001</v>
      </c>
      <c r="E442" s="2">
        <v>-46.634399999999999</v>
      </c>
      <c r="F442" s="2">
        <v>-489.04059999999998</v>
      </c>
    </row>
    <row r="443" spans="1:6" hidden="1" x14ac:dyDescent="0.3">
      <c r="A443" s="1" t="s">
        <v>108</v>
      </c>
      <c r="B443" s="1">
        <v>155</v>
      </c>
      <c r="C443" s="1" t="s">
        <v>89</v>
      </c>
      <c r="D443" s="2">
        <v>1370.3376000000001</v>
      </c>
      <c r="E443" s="2">
        <v>-734.66480000000001</v>
      </c>
      <c r="F443" s="2">
        <v>-580.5575</v>
      </c>
    </row>
    <row r="444" spans="1:6" hidden="1" x14ac:dyDescent="0.3">
      <c r="A444" s="1" t="s">
        <v>108</v>
      </c>
      <c r="B444" s="1">
        <v>1006</v>
      </c>
      <c r="C444" s="1" t="s">
        <v>89</v>
      </c>
      <c r="D444" s="2">
        <v>511.42230000000001</v>
      </c>
      <c r="E444" s="2">
        <v>-409.81200000000001</v>
      </c>
      <c r="F444" s="2">
        <v>412.6438</v>
      </c>
    </row>
    <row r="445" spans="1:6" hidden="1" x14ac:dyDescent="0.3">
      <c r="A445" s="1" t="s">
        <v>108</v>
      </c>
      <c r="B445" s="1">
        <v>1007</v>
      </c>
      <c r="C445" s="1" t="s">
        <v>89</v>
      </c>
      <c r="D445" s="2">
        <v>257.98419999999999</v>
      </c>
      <c r="E445" s="2">
        <v>3.5811000000000002</v>
      </c>
      <c r="F445" s="2">
        <v>189.0719</v>
      </c>
    </row>
    <row r="446" spans="1:6" hidden="1" x14ac:dyDescent="0.3">
      <c r="A446" s="1" t="s">
        <v>108</v>
      </c>
      <c r="B446" s="1">
        <v>1008</v>
      </c>
      <c r="C446" s="1" t="s">
        <v>89</v>
      </c>
      <c r="D446" s="2">
        <v>1126.4523999999999</v>
      </c>
      <c r="E446" s="2">
        <v>-23.6997</v>
      </c>
      <c r="F446" s="2">
        <v>-490.07190000000003</v>
      </c>
    </row>
    <row r="447" spans="1:6" hidden="1" x14ac:dyDescent="0.3">
      <c r="A447" s="1" t="s">
        <v>108</v>
      </c>
      <c r="B447" s="1">
        <v>1010</v>
      </c>
      <c r="C447" s="1" t="s">
        <v>89</v>
      </c>
      <c r="D447" s="2">
        <v>357.2167</v>
      </c>
      <c r="E447" s="2">
        <v>-99.168499999999995</v>
      </c>
      <c r="F447" s="2">
        <v>-128.98089999999999</v>
      </c>
    </row>
    <row r="448" spans="1:6" hidden="1" x14ac:dyDescent="0.3">
      <c r="A448" s="1" t="s">
        <v>108</v>
      </c>
      <c r="B448" s="1">
        <v>1011</v>
      </c>
      <c r="C448" s="1" t="s">
        <v>89</v>
      </c>
      <c r="D448" s="2">
        <v>496.49220000000003</v>
      </c>
      <c r="E448" s="2">
        <v>-267.72789999999998</v>
      </c>
      <c r="F448" s="2">
        <v>-644.12620000000004</v>
      </c>
    </row>
    <row r="449" spans="1:6" hidden="1" x14ac:dyDescent="0.3">
      <c r="A449" s="1" t="s">
        <v>108</v>
      </c>
      <c r="B449" s="1">
        <v>1012</v>
      </c>
      <c r="C449" s="1" t="s">
        <v>89</v>
      </c>
      <c r="D449" s="2">
        <v>590.0575</v>
      </c>
      <c r="E449" s="2">
        <v>-334.0652</v>
      </c>
      <c r="F449" s="2">
        <v>-999.56299999999999</v>
      </c>
    </row>
    <row r="450" spans="1:6" hidden="1" x14ac:dyDescent="0.3">
      <c r="A450" s="1" t="s">
        <v>108</v>
      </c>
      <c r="B450" s="1">
        <v>1015</v>
      </c>
      <c r="C450" s="1" t="s">
        <v>89</v>
      </c>
      <c r="D450" s="2">
        <v>1082.684</v>
      </c>
      <c r="E450" s="2">
        <v>-96.3279</v>
      </c>
      <c r="F450" s="2">
        <v>-381.10169999999999</v>
      </c>
    </row>
    <row r="451" spans="1:6" hidden="1" x14ac:dyDescent="0.3">
      <c r="A451" s="1" t="s">
        <v>108</v>
      </c>
      <c r="B451" s="1">
        <v>1017</v>
      </c>
      <c r="C451" s="1" t="s">
        <v>89</v>
      </c>
      <c r="D451" s="2">
        <v>698.83770000000004</v>
      </c>
      <c r="E451" s="2">
        <v>-27.632100000000001</v>
      </c>
      <c r="F451" s="2">
        <v>-1064.1283000000001</v>
      </c>
    </row>
    <row r="452" spans="1:6" hidden="1" x14ac:dyDescent="0.3">
      <c r="A452" s="1" t="s">
        <v>108</v>
      </c>
      <c r="B452" s="1">
        <v>1018</v>
      </c>
      <c r="C452" s="1" t="s">
        <v>89</v>
      </c>
      <c r="D452" s="2">
        <v>248.8442</v>
      </c>
      <c r="E452" s="2">
        <v>-269.60969999999998</v>
      </c>
      <c r="F452" s="2">
        <v>-356.947</v>
      </c>
    </row>
    <row r="453" spans="1:6" hidden="1" x14ac:dyDescent="0.3">
      <c r="A453" s="1" t="s">
        <v>108</v>
      </c>
      <c r="B453" s="1">
        <v>1023</v>
      </c>
      <c r="C453" s="1" t="s">
        <v>89</v>
      </c>
      <c r="D453" s="2">
        <v>263.48599999999999</v>
      </c>
      <c r="E453" s="2">
        <v>-4.55</v>
      </c>
      <c r="F453" s="2">
        <v>38.630000000000003</v>
      </c>
    </row>
    <row r="454" spans="1:6" hidden="1" x14ac:dyDescent="0.3">
      <c r="A454" s="1" t="s">
        <v>108</v>
      </c>
      <c r="B454" s="1">
        <v>1027</v>
      </c>
      <c r="C454" s="1" t="s">
        <v>89</v>
      </c>
      <c r="D454" s="2">
        <v>338.90350000000001</v>
      </c>
      <c r="E454" s="2">
        <v>-5.5339999999999998</v>
      </c>
      <c r="F454" s="2">
        <v>104.0818</v>
      </c>
    </row>
    <row r="455" spans="1:6" hidden="1" x14ac:dyDescent="0.3">
      <c r="A455" s="1" t="s">
        <v>108</v>
      </c>
      <c r="B455" s="1">
        <v>1030</v>
      </c>
      <c r="C455" s="1" t="s">
        <v>89</v>
      </c>
      <c r="D455" s="2">
        <v>220.27780000000001</v>
      </c>
      <c r="E455" s="2">
        <v>-603.48749999999995</v>
      </c>
      <c r="F455" s="2">
        <v>-1074.7945999999999</v>
      </c>
    </row>
    <row r="456" spans="1:6" hidden="1" x14ac:dyDescent="0.3">
      <c r="A456" s="1" t="s">
        <v>108</v>
      </c>
      <c r="B456" s="1">
        <v>1031</v>
      </c>
      <c r="C456" s="1" t="s">
        <v>89</v>
      </c>
      <c r="D456" s="2">
        <v>228.39510000000001</v>
      </c>
      <c r="E456" s="2">
        <v>-589.33270000000005</v>
      </c>
      <c r="F456" s="2">
        <v>-1076.5304000000001</v>
      </c>
    </row>
    <row r="457" spans="1:6" hidden="1" x14ac:dyDescent="0.3">
      <c r="A457" s="1" t="s">
        <v>108</v>
      </c>
      <c r="B457" s="1">
        <v>1035</v>
      </c>
      <c r="C457" s="1" t="s">
        <v>89</v>
      </c>
      <c r="D457" s="2">
        <v>590.03650000000005</v>
      </c>
      <c r="E457" s="2">
        <v>-334.18369999999999</v>
      </c>
      <c r="F457" s="2">
        <v>-999.54560000000004</v>
      </c>
    </row>
    <row r="458" spans="1:6" hidden="1" x14ac:dyDescent="0.3">
      <c r="A458" s="1" t="s">
        <v>108</v>
      </c>
      <c r="B458" s="1">
        <v>1036</v>
      </c>
      <c r="C458" s="1" t="s">
        <v>89</v>
      </c>
      <c r="D458" s="2">
        <v>1041.1505999999999</v>
      </c>
      <c r="E458" s="2">
        <v>-39.399099999999997</v>
      </c>
      <c r="F458" s="2">
        <v>-808.83150000000001</v>
      </c>
    </row>
    <row r="459" spans="1:6" hidden="1" x14ac:dyDescent="0.3">
      <c r="A459" s="1" t="s">
        <v>108</v>
      </c>
      <c r="B459" s="1">
        <v>1053</v>
      </c>
      <c r="C459" s="1" t="s">
        <v>89</v>
      </c>
      <c r="D459" s="2">
        <v>9.2459000000000007</v>
      </c>
      <c r="E459" s="2">
        <v>-99.519800000000004</v>
      </c>
      <c r="F459" s="2">
        <v>-385.75110000000001</v>
      </c>
    </row>
    <row r="460" spans="1:6" hidden="1" x14ac:dyDescent="0.3">
      <c r="A460" s="1" t="s">
        <v>108</v>
      </c>
      <c r="B460" s="1">
        <v>1058</v>
      </c>
      <c r="C460" s="1" t="s">
        <v>89</v>
      </c>
      <c r="D460" s="2">
        <v>-39.626199999999997</v>
      </c>
      <c r="E460" s="2">
        <v>-339.30430000000001</v>
      </c>
      <c r="F460" s="2">
        <v>-616.13279999999997</v>
      </c>
    </row>
    <row r="461" spans="1:6" x14ac:dyDescent="0.3">
      <c r="A461" s="1" t="s">
        <v>108</v>
      </c>
      <c r="B461" s="1">
        <v>1016</v>
      </c>
      <c r="C461" s="1" t="s">
        <v>77</v>
      </c>
      <c r="D461" s="2">
        <v>604.92859999999996</v>
      </c>
      <c r="E461" s="2">
        <v>-45.104599999999998</v>
      </c>
      <c r="F461" s="2">
        <v>-1114.8501000000001</v>
      </c>
    </row>
    <row r="462" spans="1:6" x14ac:dyDescent="0.3">
      <c r="A462" s="1" t="s">
        <v>108</v>
      </c>
      <c r="B462" s="1">
        <v>1001</v>
      </c>
      <c r="C462" s="1" t="s">
        <v>78</v>
      </c>
      <c r="D462" s="2">
        <v>-115.5333</v>
      </c>
      <c r="E462" s="2">
        <v>-51.0623</v>
      </c>
      <c r="F462" s="2">
        <v>-283.10570000000001</v>
      </c>
    </row>
    <row r="463" spans="1:6" x14ac:dyDescent="0.3">
      <c r="A463" s="1" t="s">
        <v>108</v>
      </c>
      <c r="B463" s="1">
        <v>501</v>
      </c>
      <c r="C463" s="1" t="s">
        <v>94</v>
      </c>
      <c r="D463" s="2">
        <v>-2.0799999999999999E-2</v>
      </c>
      <c r="E463" s="2">
        <v>0.3785</v>
      </c>
      <c r="F463" s="2">
        <v>-0.1804</v>
      </c>
    </row>
    <row r="464" spans="1:6" x14ac:dyDescent="0.3">
      <c r="A464" s="1" t="s">
        <v>108</v>
      </c>
      <c r="B464" s="1">
        <v>502</v>
      </c>
      <c r="C464" s="1" t="s">
        <v>85</v>
      </c>
      <c r="D464" s="2">
        <v>172.17429999999999</v>
      </c>
      <c r="E464" s="2">
        <v>0.50949999999999995</v>
      </c>
      <c r="F464" s="2">
        <v>-175.41800000000001</v>
      </c>
    </row>
    <row r="465" spans="1:6" x14ac:dyDescent="0.3">
      <c r="A465" s="1" t="s">
        <v>108</v>
      </c>
      <c r="B465" s="1">
        <v>503</v>
      </c>
      <c r="C465" s="1" t="s">
        <v>95</v>
      </c>
      <c r="D465" s="2">
        <v>170.68860000000001</v>
      </c>
      <c r="E465" s="2">
        <v>-0.1678</v>
      </c>
      <c r="F465" s="2">
        <v>-1.1132</v>
      </c>
    </row>
    <row r="466" spans="1:6" x14ac:dyDescent="0.3">
      <c r="A466" s="1" t="s">
        <v>108</v>
      </c>
      <c r="B466" s="1">
        <v>504</v>
      </c>
      <c r="C466" s="1" t="s">
        <v>87</v>
      </c>
      <c r="D466" s="2">
        <v>346.45060000000001</v>
      </c>
      <c r="E466" s="2">
        <v>0.45910000000000001</v>
      </c>
      <c r="F466" s="2">
        <v>-7.17E-2</v>
      </c>
    </row>
    <row r="467" spans="1:6" x14ac:dyDescent="0.3">
      <c r="A467" s="1" t="s">
        <v>108</v>
      </c>
      <c r="B467" s="1">
        <v>505</v>
      </c>
      <c r="C467" s="1" t="s">
        <v>96</v>
      </c>
      <c r="D467" s="2">
        <v>169.81379999999999</v>
      </c>
      <c r="E467" s="2">
        <v>0.33410000000000001</v>
      </c>
      <c r="F467" s="2">
        <v>175.0076</v>
      </c>
    </row>
    <row r="468" spans="1:6" x14ac:dyDescent="0.3">
      <c r="A468" s="1" t="s">
        <v>108</v>
      </c>
      <c r="B468" s="1">
        <v>116</v>
      </c>
      <c r="C468" s="1" t="s">
        <v>81</v>
      </c>
      <c r="D468" s="2">
        <v>1012.1268</v>
      </c>
      <c r="E468" s="2">
        <v>-625.18679999999995</v>
      </c>
      <c r="F468" s="2">
        <v>-1135.3496</v>
      </c>
    </row>
    <row r="469" spans="1:6" x14ac:dyDescent="0.3">
      <c r="A469" s="1" t="s">
        <v>108</v>
      </c>
      <c r="B469" s="1">
        <v>121</v>
      </c>
      <c r="C469" s="1" t="s">
        <v>93</v>
      </c>
      <c r="D469" s="2">
        <v>635.33429999999998</v>
      </c>
      <c r="E469" s="2">
        <v>-99.388999999999996</v>
      </c>
      <c r="F469" s="2">
        <v>96.226399999999998</v>
      </c>
    </row>
    <row r="470" spans="1:6" x14ac:dyDescent="0.3">
      <c r="A470" s="1" t="s">
        <v>108</v>
      </c>
      <c r="B470" s="1">
        <v>13</v>
      </c>
      <c r="C470" s="1" t="s">
        <v>80</v>
      </c>
      <c r="D470" s="2">
        <v>279.75959999999998</v>
      </c>
      <c r="E470" s="2">
        <v>3.6110000000000002</v>
      </c>
      <c r="F470" s="2">
        <v>200.74639999999999</v>
      </c>
    </row>
    <row r="471" spans="1:6" x14ac:dyDescent="0.3">
      <c r="A471" s="1" t="s">
        <v>108</v>
      </c>
      <c r="B471" s="1">
        <v>34</v>
      </c>
      <c r="C471" s="1" t="s">
        <v>74</v>
      </c>
      <c r="D471" s="2">
        <v>757.88329999999996</v>
      </c>
      <c r="E471" s="2">
        <v>-94.786900000000003</v>
      </c>
      <c r="F471" s="2">
        <v>-665.65039999999999</v>
      </c>
    </row>
    <row r="472" spans="1:6" x14ac:dyDescent="0.3">
      <c r="A472" s="1" t="s">
        <v>108</v>
      </c>
      <c r="B472" s="1">
        <v>37</v>
      </c>
      <c r="C472" s="1" t="s">
        <v>79</v>
      </c>
      <c r="D472" s="2">
        <v>33.385399999999997</v>
      </c>
      <c r="E472" s="2">
        <v>-98.605900000000005</v>
      </c>
      <c r="F472" s="2">
        <v>-390.84519999999998</v>
      </c>
    </row>
    <row r="473" spans="1:6" x14ac:dyDescent="0.3">
      <c r="A473" s="1" t="s">
        <v>108</v>
      </c>
      <c r="B473" s="1">
        <v>4</v>
      </c>
      <c r="C473" s="1" t="s">
        <v>88</v>
      </c>
      <c r="D473" s="2">
        <v>1045.8612000000001</v>
      </c>
      <c r="E473" s="2">
        <v>-512.92250000000001</v>
      </c>
      <c r="F473" s="2">
        <v>-1105.1656</v>
      </c>
    </row>
    <row r="474" spans="1:6" x14ac:dyDescent="0.3">
      <c r="A474" s="1" t="s">
        <v>108</v>
      </c>
      <c r="B474" s="1">
        <v>42</v>
      </c>
      <c r="C474" s="1" t="s">
        <v>90</v>
      </c>
      <c r="D474" s="2">
        <v>1083.2563</v>
      </c>
      <c r="E474" s="2">
        <v>-96.730400000000003</v>
      </c>
      <c r="F474" s="2">
        <v>-356.34370000000001</v>
      </c>
    </row>
    <row r="475" spans="1:6" x14ac:dyDescent="0.3">
      <c r="A475" s="1" t="s">
        <v>108</v>
      </c>
      <c r="B475" s="1">
        <v>506</v>
      </c>
      <c r="C475" s="1" t="s">
        <v>82</v>
      </c>
      <c r="D475" s="2">
        <v>1148.5534</v>
      </c>
      <c r="E475" s="2">
        <v>-23.448599999999999</v>
      </c>
      <c r="F475" s="2">
        <v>-460.4194</v>
      </c>
    </row>
    <row r="476" spans="1:6" x14ac:dyDescent="0.3">
      <c r="A476" s="1" t="s">
        <v>108</v>
      </c>
      <c r="B476" s="1">
        <v>507</v>
      </c>
      <c r="C476" s="1" t="s">
        <v>83</v>
      </c>
      <c r="D476" s="2">
        <v>676.69389999999999</v>
      </c>
      <c r="E476" s="2">
        <v>-27.811499999999999</v>
      </c>
      <c r="F476" s="2">
        <v>-1093.7248</v>
      </c>
    </row>
    <row r="477" spans="1:6" x14ac:dyDescent="0.3">
      <c r="A477" s="1" t="s">
        <v>108</v>
      </c>
      <c r="B477" s="1">
        <v>509</v>
      </c>
      <c r="C477" s="1" t="s">
        <v>97</v>
      </c>
      <c r="D477" s="2">
        <v>487.93700000000001</v>
      </c>
      <c r="E477" s="2">
        <v>-400.93599999999998</v>
      </c>
      <c r="F477" s="2">
        <v>439.72719999999998</v>
      </c>
    </row>
    <row r="478" spans="1:6" x14ac:dyDescent="0.3">
      <c r="A478" s="1" t="s">
        <v>108</v>
      </c>
      <c r="B478" s="1">
        <v>57</v>
      </c>
      <c r="C478" s="1" t="s">
        <v>91</v>
      </c>
      <c r="D478" s="2">
        <v>381.64510000000001</v>
      </c>
      <c r="E478" s="2">
        <v>-98.950199999999995</v>
      </c>
      <c r="F478" s="2">
        <v>-132.1026</v>
      </c>
    </row>
    <row r="479" spans="1:6" x14ac:dyDescent="0.3">
      <c r="A479" s="1" t="s">
        <v>108</v>
      </c>
      <c r="B479" s="1">
        <v>87</v>
      </c>
      <c r="C479" s="1" t="s">
        <v>86</v>
      </c>
      <c r="D479" s="2">
        <v>1198.6596</v>
      </c>
      <c r="E479" s="2">
        <v>-631.47799999999995</v>
      </c>
      <c r="F479" s="2">
        <v>-975.20830000000001</v>
      </c>
    </row>
    <row r="480" spans="1:6" x14ac:dyDescent="0.3">
      <c r="A480" s="1" t="s">
        <v>108</v>
      </c>
      <c r="B480" s="1">
        <v>92</v>
      </c>
      <c r="C480" s="1" t="s">
        <v>92</v>
      </c>
      <c r="D480" s="2">
        <v>532.70899999999995</v>
      </c>
      <c r="E480" s="2">
        <v>-94.665999999999997</v>
      </c>
      <c r="F480" s="2">
        <v>-862.22770000000003</v>
      </c>
    </row>
    <row r="481" spans="1:6" x14ac:dyDescent="0.3">
      <c r="A481" s="1" t="s">
        <v>108</v>
      </c>
      <c r="B481" s="1">
        <v>96</v>
      </c>
      <c r="C481" s="1" t="s">
        <v>84</v>
      </c>
      <c r="D481" s="2">
        <v>424.5917</v>
      </c>
      <c r="E481" s="2">
        <v>3.6099000000000001</v>
      </c>
      <c r="F481" s="2">
        <v>304.03410000000002</v>
      </c>
    </row>
    <row r="482" spans="1:6" x14ac:dyDescent="0.3">
      <c r="A482" s="1" t="s">
        <v>104</v>
      </c>
      <c r="B482" s="1">
        <v>1011</v>
      </c>
      <c r="C482" s="1" t="s">
        <v>75</v>
      </c>
      <c r="D482" s="2">
        <v>575.49699999999996</v>
      </c>
      <c r="E482" s="2">
        <v>-52.610999999999997</v>
      </c>
      <c r="F482" s="2">
        <v>347.42399999999998</v>
      </c>
    </row>
    <row r="483" spans="1:6" x14ac:dyDescent="0.3">
      <c r="A483" s="1" t="s">
        <v>104</v>
      </c>
      <c r="B483" s="1">
        <v>1021</v>
      </c>
      <c r="C483" s="1" t="s">
        <v>76</v>
      </c>
      <c r="D483" s="2">
        <v>1297.0840000000001</v>
      </c>
      <c r="E483" s="2">
        <v>-47.313000000000002</v>
      </c>
      <c r="F483" s="2">
        <v>-488.86799999999999</v>
      </c>
    </row>
    <row r="484" spans="1:6" x14ac:dyDescent="0.3">
      <c r="A484" s="1" t="s">
        <v>104</v>
      </c>
      <c r="B484" s="1">
        <v>1032</v>
      </c>
      <c r="C484" s="1" t="s">
        <v>77</v>
      </c>
      <c r="D484" s="2">
        <v>605.36800000000005</v>
      </c>
      <c r="E484" s="2">
        <v>-46.253</v>
      </c>
      <c r="F484" s="2">
        <v>-1114.9079999999999</v>
      </c>
    </row>
    <row r="485" spans="1:6" x14ac:dyDescent="0.3">
      <c r="A485" s="1" t="s">
        <v>104</v>
      </c>
      <c r="B485" s="1">
        <v>1002</v>
      </c>
      <c r="C485" s="1" t="s">
        <v>78</v>
      </c>
      <c r="D485" s="2">
        <v>-115.43</v>
      </c>
      <c r="E485" s="2">
        <v>-51.466999999999999</v>
      </c>
      <c r="F485" s="2">
        <v>-283.476</v>
      </c>
    </row>
    <row r="486" spans="1:6" x14ac:dyDescent="0.3">
      <c r="A486" s="1" t="s">
        <v>104</v>
      </c>
      <c r="B486" s="1">
        <v>501</v>
      </c>
      <c r="C486" s="1" t="s">
        <v>94</v>
      </c>
      <c r="D486" s="2">
        <v>-2.9000000000000001E-2</v>
      </c>
      <c r="E486" s="2">
        <v>0.20799999999999999</v>
      </c>
      <c r="F486" s="2">
        <v>-0.55100000000000005</v>
      </c>
    </row>
    <row r="487" spans="1:6" x14ac:dyDescent="0.3">
      <c r="A487" s="1" t="s">
        <v>104</v>
      </c>
      <c r="B487" s="1">
        <v>502</v>
      </c>
      <c r="C487" s="1" t="s">
        <v>85</v>
      </c>
      <c r="D487" s="2">
        <v>172.23</v>
      </c>
      <c r="E487" s="2">
        <v>0.27300000000000002</v>
      </c>
      <c r="F487" s="2">
        <v>-175.715</v>
      </c>
    </row>
    <row r="488" spans="1:6" x14ac:dyDescent="0.3">
      <c r="A488" s="1" t="s">
        <v>104</v>
      </c>
      <c r="B488" s="1">
        <v>503</v>
      </c>
      <c r="C488" s="1" t="s">
        <v>95</v>
      </c>
      <c r="D488" s="2">
        <v>170.684</v>
      </c>
      <c r="E488" s="2">
        <v>-0.26900000000000002</v>
      </c>
      <c r="F488" s="2">
        <v>-1.415</v>
      </c>
    </row>
    <row r="489" spans="1:6" x14ac:dyDescent="0.3">
      <c r="A489" s="1" t="s">
        <v>104</v>
      </c>
      <c r="B489" s="1">
        <v>504</v>
      </c>
      <c r="C489" s="1" t="s">
        <v>87</v>
      </c>
      <c r="D489" s="2">
        <v>346.45600000000002</v>
      </c>
      <c r="E489" s="2">
        <v>0.34399999999999997</v>
      </c>
      <c r="F489" s="2">
        <v>-0.30099999999999999</v>
      </c>
    </row>
    <row r="490" spans="1:6" x14ac:dyDescent="0.3">
      <c r="A490" s="1" t="s">
        <v>104</v>
      </c>
      <c r="B490" s="1">
        <v>505</v>
      </c>
      <c r="C490" s="1" t="s">
        <v>96</v>
      </c>
      <c r="D490" s="2">
        <v>169.745</v>
      </c>
      <c r="E490" s="2">
        <v>0.35299999999999998</v>
      </c>
      <c r="F490" s="2">
        <v>174.72</v>
      </c>
    </row>
    <row r="491" spans="1:6" hidden="1" x14ac:dyDescent="0.3">
      <c r="A491" s="1" t="s">
        <v>104</v>
      </c>
      <c r="B491" s="1">
        <v>1003</v>
      </c>
      <c r="C491" s="1" t="s">
        <v>89</v>
      </c>
      <c r="D491" s="2">
        <v>699.36400000000003</v>
      </c>
      <c r="E491" s="2">
        <v>-28.611000000000001</v>
      </c>
      <c r="F491" s="2">
        <v>-1064.2670000000001</v>
      </c>
    </row>
    <row r="492" spans="1:6" hidden="1" x14ac:dyDescent="0.3">
      <c r="A492" s="1" t="s">
        <v>104</v>
      </c>
      <c r="B492" s="1">
        <v>1005</v>
      </c>
      <c r="C492" s="1" t="s">
        <v>89</v>
      </c>
      <c r="D492" s="2">
        <v>9.3680000000000003</v>
      </c>
      <c r="E492" s="2">
        <v>-99.745000000000005</v>
      </c>
      <c r="F492" s="2">
        <v>-386.06400000000002</v>
      </c>
    </row>
    <row r="493" spans="1:6" hidden="1" x14ac:dyDescent="0.3">
      <c r="A493" s="1" t="s">
        <v>104</v>
      </c>
      <c r="B493" s="1">
        <v>1006</v>
      </c>
      <c r="C493" s="1" t="s">
        <v>89</v>
      </c>
      <c r="D493" s="2">
        <v>357.27100000000002</v>
      </c>
      <c r="E493" s="2">
        <v>-99.447999999999993</v>
      </c>
      <c r="F493" s="2">
        <v>-129.12799999999999</v>
      </c>
    </row>
    <row r="494" spans="1:6" hidden="1" x14ac:dyDescent="0.3">
      <c r="A494" s="1" t="s">
        <v>104</v>
      </c>
      <c r="B494" s="1">
        <v>1007</v>
      </c>
      <c r="C494" s="1" t="s">
        <v>89</v>
      </c>
      <c r="D494" s="2">
        <v>733.47500000000002</v>
      </c>
      <c r="E494" s="2">
        <v>-96.138999999999996</v>
      </c>
      <c r="F494" s="2">
        <v>-663.81899999999996</v>
      </c>
    </row>
    <row r="495" spans="1:6" hidden="1" x14ac:dyDescent="0.3">
      <c r="A495" s="1" t="s">
        <v>104</v>
      </c>
      <c r="B495" s="1">
        <v>1008</v>
      </c>
      <c r="C495" s="1" t="s">
        <v>89</v>
      </c>
      <c r="D495" s="2">
        <v>511.26100000000002</v>
      </c>
      <c r="E495" s="2">
        <v>-409.72699999999998</v>
      </c>
      <c r="F495" s="2">
        <v>412.74900000000002</v>
      </c>
    </row>
    <row r="496" spans="1:6" hidden="1" x14ac:dyDescent="0.3">
      <c r="A496" s="1" t="s">
        <v>104</v>
      </c>
      <c r="B496" s="1">
        <v>1009</v>
      </c>
      <c r="C496" s="1" t="s">
        <v>89</v>
      </c>
      <c r="D496" s="2">
        <v>257.91699999999997</v>
      </c>
      <c r="E496" s="2">
        <v>3.5859999999999999</v>
      </c>
      <c r="F496" s="2">
        <v>188.809</v>
      </c>
    </row>
    <row r="497" spans="1:6" hidden="1" x14ac:dyDescent="0.3">
      <c r="A497" s="1" t="s">
        <v>104</v>
      </c>
      <c r="B497" s="1">
        <v>1010</v>
      </c>
      <c r="C497" s="1" t="s">
        <v>89</v>
      </c>
      <c r="D497" s="2">
        <v>448.85899999999998</v>
      </c>
      <c r="E497" s="2">
        <v>3.706</v>
      </c>
      <c r="F497" s="2">
        <v>309.15199999999999</v>
      </c>
    </row>
    <row r="498" spans="1:6" hidden="1" x14ac:dyDescent="0.3">
      <c r="A498" s="1" t="s">
        <v>104</v>
      </c>
      <c r="B498" s="1">
        <v>1012</v>
      </c>
      <c r="C498" s="1" t="s">
        <v>89</v>
      </c>
      <c r="D498" s="2">
        <v>63.683999999999997</v>
      </c>
      <c r="E498" s="2">
        <v>-334.40199999999999</v>
      </c>
      <c r="F498" s="2">
        <v>-361.59399999999999</v>
      </c>
    </row>
    <row r="499" spans="1:6" hidden="1" x14ac:dyDescent="0.3">
      <c r="A499" s="1" t="s">
        <v>104</v>
      </c>
      <c r="B499" s="1">
        <v>1019</v>
      </c>
      <c r="C499" s="1" t="s">
        <v>89</v>
      </c>
      <c r="D499" s="2">
        <v>432.08699999999999</v>
      </c>
      <c r="E499" s="2">
        <v>-1014.176</v>
      </c>
      <c r="F499" s="2">
        <v>-612.298</v>
      </c>
    </row>
    <row r="500" spans="1:6" hidden="1" x14ac:dyDescent="0.3">
      <c r="A500" s="1" t="s">
        <v>104</v>
      </c>
      <c r="B500" s="1">
        <v>1020</v>
      </c>
      <c r="C500" s="1" t="s">
        <v>89</v>
      </c>
      <c r="D500" s="2">
        <v>1126.636</v>
      </c>
      <c r="E500" s="2">
        <v>-24.314</v>
      </c>
      <c r="F500" s="2">
        <v>-489.95400000000001</v>
      </c>
    </row>
    <row r="501" spans="1:6" hidden="1" x14ac:dyDescent="0.3">
      <c r="A501" s="1" t="s">
        <v>104</v>
      </c>
      <c r="B501" s="1">
        <v>1022</v>
      </c>
      <c r="C501" s="1" t="s">
        <v>89</v>
      </c>
      <c r="D501" s="2">
        <v>1082.835</v>
      </c>
      <c r="E501" s="2">
        <v>-96.918999999999997</v>
      </c>
      <c r="F501" s="2">
        <v>-381.00799999999998</v>
      </c>
    </row>
    <row r="502" spans="1:6" hidden="1" x14ac:dyDescent="0.3">
      <c r="A502" s="1" t="s">
        <v>104</v>
      </c>
      <c r="B502" s="1">
        <v>1026</v>
      </c>
      <c r="C502" s="1" t="s">
        <v>89</v>
      </c>
      <c r="D502" s="2">
        <v>918.49099999999999</v>
      </c>
      <c r="E502" s="2">
        <v>-30.099</v>
      </c>
      <c r="F502" s="2">
        <v>-916.202</v>
      </c>
    </row>
    <row r="503" spans="1:6" hidden="1" x14ac:dyDescent="0.3">
      <c r="A503" s="1" t="s">
        <v>104</v>
      </c>
      <c r="B503" s="1">
        <v>1027</v>
      </c>
      <c r="C503" s="1" t="s">
        <v>89</v>
      </c>
      <c r="D503" s="2">
        <v>64.182000000000002</v>
      </c>
      <c r="E503" s="2">
        <v>-333.23099999999999</v>
      </c>
      <c r="F503" s="2">
        <v>-362.08499999999998</v>
      </c>
    </row>
    <row r="504" spans="1:6" hidden="1" x14ac:dyDescent="0.3">
      <c r="A504" s="1" t="s">
        <v>104</v>
      </c>
      <c r="B504" s="1">
        <v>1028</v>
      </c>
      <c r="C504" s="1" t="s">
        <v>89</v>
      </c>
      <c r="D504" s="2">
        <v>248.99600000000001</v>
      </c>
      <c r="E504" s="2">
        <v>-270.08800000000002</v>
      </c>
      <c r="F504" s="2">
        <v>-357.08499999999998</v>
      </c>
    </row>
    <row r="505" spans="1:6" hidden="1" x14ac:dyDescent="0.3">
      <c r="A505" s="1" t="s">
        <v>104</v>
      </c>
      <c r="B505" s="1">
        <v>1033</v>
      </c>
      <c r="C505" s="1" t="s">
        <v>89</v>
      </c>
      <c r="D505" s="2">
        <v>988.09299999999996</v>
      </c>
      <c r="E505" s="2">
        <v>3.54</v>
      </c>
      <c r="F505" s="2">
        <v>-804.28300000000002</v>
      </c>
    </row>
    <row r="506" spans="1:6" hidden="1" x14ac:dyDescent="0.3">
      <c r="A506" s="1" t="s">
        <v>104</v>
      </c>
      <c r="B506" s="1">
        <v>1040</v>
      </c>
      <c r="C506" s="1" t="s">
        <v>89</v>
      </c>
      <c r="D506" s="2">
        <v>869.36099999999999</v>
      </c>
      <c r="E506" s="2">
        <v>-2.4390000000000001</v>
      </c>
      <c r="F506" s="2">
        <v>-907.10299999999995</v>
      </c>
    </row>
    <row r="507" spans="1:6" hidden="1" x14ac:dyDescent="0.3">
      <c r="A507" s="1" t="s">
        <v>104</v>
      </c>
      <c r="B507" s="1">
        <v>1045</v>
      </c>
      <c r="C507" s="1" t="s">
        <v>89</v>
      </c>
      <c r="D507" s="2">
        <v>220.72399999999999</v>
      </c>
      <c r="E507" s="2">
        <v>-604.83000000000004</v>
      </c>
      <c r="F507" s="2">
        <v>-1074.4670000000001</v>
      </c>
    </row>
    <row r="508" spans="1:6" hidden="1" x14ac:dyDescent="0.3">
      <c r="A508" s="1" t="s">
        <v>104</v>
      </c>
      <c r="B508" s="1">
        <v>1047</v>
      </c>
      <c r="C508" s="1" t="s">
        <v>89</v>
      </c>
      <c r="D508" s="2">
        <v>1042.4590000000001</v>
      </c>
      <c r="E508" s="2">
        <v>-37.878999999999998</v>
      </c>
      <c r="F508" s="2">
        <v>-809.75</v>
      </c>
    </row>
    <row r="509" spans="1:6" hidden="1" x14ac:dyDescent="0.3">
      <c r="A509" s="1" t="s">
        <v>104</v>
      </c>
      <c r="B509" s="1">
        <v>1049</v>
      </c>
      <c r="C509" s="1" t="s">
        <v>89</v>
      </c>
      <c r="D509" s="2">
        <v>-152.29400000000001</v>
      </c>
      <c r="E509" s="2">
        <v>-593.78200000000004</v>
      </c>
      <c r="F509" s="2">
        <v>-643.90200000000004</v>
      </c>
    </row>
    <row r="510" spans="1:6" hidden="1" x14ac:dyDescent="0.3">
      <c r="A510" s="1" t="s">
        <v>104</v>
      </c>
      <c r="B510" s="1">
        <v>1050</v>
      </c>
      <c r="C510" s="1" t="s">
        <v>89</v>
      </c>
      <c r="D510" s="2">
        <v>73.200999999999993</v>
      </c>
      <c r="E510" s="2">
        <v>-337.5</v>
      </c>
      <c r="F510" s="2">
        <v>-355.09199999999998</v>
      </c>
    </row>
    <row r="511" spans="1:6" hidden="1" x14ac:dyDescent="0.3">
      <c r="A511" s="1" t="s">
        <v>104</v>
      </c>
      <c r="B511" s="1">
        <v>1052</v>
      </c>
      <c r="C511" s="1" t="s">
        <v>89</v>
      </c>
      <c r="D511" s="2">
        <v>1005.552</v>
      </c>
      <c r="E511" s="2">
        <v>5.4740000000000002</v>
      </c>
      <c r="F511" s="2">
        <v>-838.82500000000005</v>
      </c>
    </row>
    <row r="512" spans="1:6" hidden="1" x14ac:dyDescent="0.3">
      <c r="A512" s="1" t="s">
        <v>104</v>
      </c>
      <c r="B512" s="1">
        <v>1070</v>
      </c>
      <c r="C512" s="1" t="s">
        <v>89</v>
      </c>
      <c r="D512" s="2">
        <v>324.959</v>
      </c>
      <c r="E512" s="2">
        <v>-1013.864</v>
      </c>
      <c r="F512" s="2">
        <v>-705.38599999999997</v>
      </c>
    </row>
    <row r="513" spans="1:6" hidden="1" x14ac:dyDescent="0.3">
      <c r="A513" s="1" t="s">
        <v>104</v>
      </c>
      <c r="B513" s="1">
        <v>1075</v>
      </c>
      <c r="C513" s="1" t="s">
        <v>89</v>
      </c>
      <c r="D513" s="2">
        <v>1347.0989999999999</v>
      </c>
      <c r="E513" s="2">
        <v>-726.45500000000004</v>
      </c>
      <c r="F513" s="2">
        <v>-552.70299999999997</v>
      </c>
    </row>
    <row r="514" spans="1:6" hidden="1" x14ac:dyDescent="0.3">
      <c r="A514" s="1" t="s">
        <v>104</v>
      </c>
      <c r="B514" s="1">
        <v>1076</v>
      </c>
      <c r="C514" s="1" t="s">
        <v>89</v>
      </c>
      <c r="D514" s="2">
        <v>547.96</v>
      </c>
      <c r="E514" s="2">
        <v>4.3780000000000001</v>
      </c>
      <c r="F514" s="2">
        <v>232.33699999999999</v>
      </c>
    </row>
    <row r="515" spans="1:6" hidden="1" x14ac:dyDescent="0.3">
      <c r="A515" s="1" t="s">
        <v>104</v>
      </c>
      <c r="B515" s="1">
        <v>1077</v>
      </c>
      <c r="C515" s="1" t="s">
        <v>89</v>
      </c>
      <c r="D515" s="2">
        <v>279.32</v>
      </c>
      <c r="E515" s="2">
        <v>-1028.788</v>
      </c>
      <c r="F515" s="2">
        <v>-343.08300000000003</v>
      </c>
    </row>
    <row r="516" spans="1:6" hidden="1" x14ac:dyDescent="0.3">
      <c r="A516" s="1" t="s">
        <v>104</v>
      </c>
      <c r="B516" s="1">
        <v>1080</v>
      </c>
      <c r="C516" s="1" t="s">
        <v>89</v>
      </c>
      <c r="D516" s="2">
        <v>232.464</v>
      </c>
      <c r="E516" s="2">
        <v>-1074.3389999999999</v>
      </c>
      <c r="F516" s="2">
        <v>-627.16</v>
      </c>
    </row>
    <row r="517" spans="1:6" hidden="1" x14ac:dyDescent="0.3">
      <c r="A517" s="1" t="s">
        <v>104</v>
      </c>
      <c r="B517" s="1">
        <v>1082</v>
      </c>
      <c r="C517" s="1" t="s">
        <v>89</v>
      </c>
      <c r="D517" s="2">
        <v>1347</v>
      </c>
      <c r="E517" s="2">
        <v>-726.52300000000002</v>
      </c>
      <c r="F517" s="2">
        <v>-552.63499999999999</v>
      </c>
    </row>
    <row r="518" spans="1:6" hidden="1" x14ac:dyDescent="0.3">
      <c r="A518" s="1" t="s">
        <v>104</v>
      </c>
      <c r="B518" s="1">
        <v>1089</v>
      </c>
      <c r="C518" s="1" t="s">
        <v>89</v>
      </c>
      <c r="D518" s="2">
        <v>919.68499999999995</v>
      </c>
      <c r="E518" s="2">
        <v>-21.234000000000002</v>
      </c>
      <c r="F518" s="2">
        <v>-935.32100000000003</v>
      </c>
    </row>
    <row r="519" spans="1:6" hidden="1" x14ac:dyDescent="0.3">
      <c r="A519" s="1" t="s">
        <v>104</v>
      </c>
      <c r="B519" s="1">
        <v>1090</v>
      </c>
      <c r="C519" s="1" t="s">
        <v>89</v>
      </c>
      <c r="D519" s="2">
        <v>153.422</v>
      </c>
      <c r="E519" s="2">
        <v>-948.04</v>
      </c>
      <c r="F519" s="2">
        <v>-679.23599999999999</v>
      </c>
    </row>
    <row r="520" spans="1:6" hidden="1" x14ac:dyDescent="0.3">
      <c r="A520" s="1" t="s">
        <v>104</v>
      </c>
      <c r="B520" s="1">
        <v>1102</v>
      </c>
      <c r="C520" s="1" t="s">
        <v>89</v>
      </c>
      <c r="D520" s="2">
        <v>392.63299999999998</v>
      </c>
      <c r="E520" s="2">
        <v>-1004.213</v>
      </c>
      <c r="F520" s="2">
        <v>-654.54600000000005</v>
      </c>
    </row>
    <row r="521" spans="1:6" hidden="1" x14ac:dyDescent="0.3">
      <c r="A521" s="1" t="s">
        <v>104</v>
      </c>
      <c r="B521" s="1">
        <v>1129</v>
      </c>
      <c r="C521" s="1" t="s">
        <v>89</v>
      </c>
      <c r="D521" s="2">
        <v>1165.2950000000001</v>
      </c>
      <c r="E521" s="2">
        <v>-37.871000000000002</v>
      </c>
      <c r="F521" s="2">
        <v>-718.28499999999997</v>
      </c>
    </row>
    <row r="522" spans="1:6" x14ac:dyDescent="0.3">
      <c r="A522" s="1" t="s">
        <v>104</v>
      </c>
      <c r="B522" s="1">
        <v>116</v>
      </c>
      <c r="C522" s="1" t="s">
        <v>81</v>
      </c>
      <c r="D522" s="2">
        <v>1012.535</v>
      </c>
      <c r="E522" s="2">
        <v>-626.34199999999998</v>
      </c>
      <c r="F522" s="2">
        <v>-1134.8309999999999</v>
      </c>
    </row>
    <row r="523" spans="1:6" x14ac:dyDescent="0.3">
      <c r="A523" s="1" t="s">
        <v>104</v>
      </c>
      <c r="B523" s="1">
        <v>121</v>
      </c>
      <c r="C523" s="1" t="s">
        <v>93</v>
      </c>
      <c r="D523" s="2">
        <v>635.32100000000003</v>
      </c>
      <c r="E523" s="2">
        <v>-99.519000000000005</v>
      </c>
      <c r="F523" s="2">
        <v>96.186000000000007</v>
      </c>
    </row>
    <row r="524" spans="1:6" x14ac:dyDescent="0.3">
      <c r="A524" s="1" t="s">
        <v>104</v>
      </c>
      <c r="B524" s="1">
        <v>13</v>
      </c>
      <c r="C524" s="1" t="s">
        <v>80</v>
      </c>
      <c r="D524" s="2">
        <v>279.68599999999998</v>
      </c>
      <c r="E524" s="2">
        <v>3.6240000000000001</v>
      </c>
      <c r="F524" s="2">
        <v>200.50200000000001</v>
      </c>
    </row>
    <row r="525" spans="1:6" x14ac:dyDescent="0.3">
      <c r="A525" s="1" t="s">
        <v>104</v>
      </c>
      <c r="B525" s="1">
        <v>34</v>
      </c>
      <c r="C525" s="1" t="s">
        <v>74</v>
      </c>
      <c r="D525" s="2">
        <v>758.15599999999995</v>
      </c>
      <c r="E525" s="2">
        <v>-95.566000000000003</v>
      </c>
      <c r="F525" s="2">
        <v>-665.63099999999997</v>
      </c>
    </row>
    <row r="526" spans="1:6" x14ac:dyDescent="0.3">
      <c r="A526" s="1" t="s">
        <v>104</v>
      </c>
      <c r="B526" s="1">
        <v>37</v>
      </c>
      <c r="C526" s="1" t="s">
        <v>79</v>
      </c>
      <c r="D526" s="2">
        <v>33.529000000000003</v>
      </c>
      <c r="E526" s="2">
        <v>-99.128</v>
      </c>
      <c r="F526" s="2">
        <v>-391.09399999999999</v>
      </c>
    </row>
    <row r="527" spans="1:6" x14ac:dyDescent="0.3">
      <c r="A527" s="1" t="s">
        <v>104</v>
      </c>
      <c r="B527" s="1">
        <v>4</v>
      </c>
      <c r="C527" s="1" t="s">
        <v>88</v>
      </c>
      <c r="D527" s="2">
        <v>1046.2090000000001</v>
      </c>
      <c r="E527" s="2">
        <v>-514.08600000000001</v>
      </c>
      <c r="F527" s="2">
        <v>-1104.646</v>
      </c>
    </row>
    <row r="528" spans="1:6" x14ac:dyDescent="0.3">
      <c r="A528" s="1" t="s">
        <v>104</v>
      </c>
      <c r="B528" s="1">
        <v>42</v>
      </c>
      <c r="C528" s="1" t="s">
        <v>90</v>
      </c>
      <c r="D528" s="2">
        <v>1083.403</v>
      </c>
      <c r="E528" s="2">
        <v>-97.3</v>
      </c>
      <c r="F528" s="2">
        <v>-356.20400000000001</v>
      </c>
    </row>
    <row r="529" spans="1:6" x14ac:dyDescent="0.3">
      <c r="A529" s="1" t="s">
        <v>104</v>
      </c>
      <c r="B529" s="1">
        <v>506</v>
      </c>
      <c r="C529" s="1" t="s">
        <v>82</v>
      </c>
      <c r="D529" s="2">
        <v>1148.7149999999999</v>
      </c>
      <c r="E529" s="2">
        <v>-24.04</v>
      </c>
      <c r="F529" s="2">
        <v>-460.28800000000001</v>
      </c>
    </row>
    <row r="530" spans="1:6" x14ac:dyDescent="0.3">
      <c r="A530" s="1" t="s">
        <v>104</v>
      </c>
      <c r="B530" s="1">
        <v>507</v>
      </c>
      <c r="C530" s="1" t="s">
        <v>83</v>
      </c>
      <c r="D530" s="2">
        <v>677.23599999999999</v>
      </c>
      <c r="E530" s="2">
        <v>-28.866</v>
      </c>
      <c r="F530" s="2">
        <v>-1093.873</v>
      </c>
    </row>
    <row r="531" spans="1:6" x14ac:dyDescent="0.3">
      <c r="A531" s="1" t="s">
        <v>104</v>
      </c>
      <c r="B531" s="1">
        <v>509</v>
      </c>
      <c r="C531" s="1" t="s">
        <v>97</v>
      </c>
      <c r="D531" s="2">
        <v>487.78399999999999</v>
      </c>
      <c r="E531" s="2">
        <v>-400.76600000000002</v>
      </c>
      <c r="F531" s="2">
        <v>439.85599999999999</v>
      </c>
    </row>
    <row r="532" spans="1:6" x14ac:dyDescent="0.3">
      <c r="A532" s="1" t="s">
        <v>104</v>
      </c>
      <c r="B532" s="1">
        <v>57</v>
      </c>
      <c r="C532" s="1" t="s">
        <v>91</v>
      </c>
      <c r="D532" s="2">
        <v>381.70699999999999</v>
      </c>
      <c r="E532" s="2">
        <v>-99.251000000000005</v>
      </c>
      <c r="F532" s="2">
        <v>-132.24700000000001</v>
      </c>
    </row>
    <row r="533" spans="1:6" x14ac:dyDescent="0.3">
      <c r="A533" s="1" t="s">
        <v>104</v>
      </c>
      <c r="B533" s="1">
        <v>87</v>
      </c>
      <c r="C533" s="1" t="s">
        <v>86</v>
      </c>
      <c r="D533" s="2">
        <v>1199.0260000000001</v>
      </c>
      <c r="E533" s="2">
        <v>-632.56500000000005</v>
      </c>
      <c r="F533" s="2">
        <v>-974.65700000000004</v>
      </c>
    </row>
    <row r="534" spans="1:6" x14ac:dyDescent="0.3">
      <c r="A534" s="1" t="s">
        <v>104</v>
      </c>
      <c r="B534" s="1">
        <v>92</v>
      </c>
      <c r="C534" s="1" t="s">
        <v>92</v>
      </c>
      <c r="D534" s="2">
        <v>533.03200000000004</v>
      </c>
      <c r="E534" s="2">
        <v>-95.497</v>
      </c>
      <c r="F534" s="2">
        <v>-862.27800000000002</v>
      </c>
    </row>
    <row r="535" spans="1:6" x14ac:dyDescent="0.3">
      <c r="A535" s="1" t="s">
        <v>104</v>
      </c>
      <c r="B535" s="1">
        <v>96</v>
      </c>
      <c r="C535" s="1" t="s">
        <v>84</v>
      </c>
      <c r="D535" s="2">
        <v>424.48500000000001</v>
      </c>
      <c r="E535" s="2">
        <v>3.6819999999999999</v>
      </c>
      <c r="F535" s="2">
        <v>303.85500000000002</v>
      </c>
    </row>
    <row r="536" spans="1:6" x14ac:dyDescent="0.3">
      <c r="A536" s="1" t="s">
        <v>98</v>
      </c>
      <c r="B536" s="1">
        <v>1007</v>
      </c>
      <c r="C536" s="1" t="s">
        <v>75</v>
      </c>
      <c r="D536" s="2">
        <v>575.66780000000006</v>
      </c>
      <c r="E536" s="2">
        <v>-50.585099999999997</v>
      </c>
      <c r="F536" s="2">
        <v>349.7285</v>
      </c>
    </row>
    <row r="537" spans="1:6" x14ac:dyDescent="0.3">
      <c r="A537" s="1" t="s">
        <v>98</v>
      </c>
      <c r="B537" s="1">
        <v>1013</v>
      </c>
      <c r="C537" s="1" t="s">
        <v>76</v>
      </c>
      <c r="D537" s="2">
        <v>1295.7804000000001</v>
      </c>
      <c r="E537" s="2">
        <v>-58.134099999999997</v>
      </c>
      <c r="F537" s="2">
        <v>-487.79430000000002</v>
      </c>
    </row>
    <row r="538" spans="1:6" x14ac:dyDescent="0.3">
      <c r="A538" s="1" t="s">
        <v>98</v>
      </c>
      <c r="B538" s="1">
        <v>1019</v>
      </c>
      <c r="C538" s="1" t="s">
        <v>77</v>
      </c>
      <c r="D538" s="2">
        <v>602.94550000000004</v>
      </c>
      <c r="E538" s="2">
        <v>-59.117600000000003</v>
      </c>
      <c r="F538" s="2">
        <v>-1112.6487999999999</v>
      </c>
    </row>
    <row r="539" spans="1:6" x14ac:dyDescent="0.3">
      <c r="A539" s="1" t="s">
        <v>98</v>
      </c>
      <c r="B539" s="1">
        <v>1003</v>
      </c>
      <c r="C539" s="1" t="s">
        <v>78</v>
      </c>
      <c r="D539" s="2">
        <v>-116.29519999999999</v>
      </c>
      <c r="E539" s="2">
        <v>-51.572299999999998</v>
      </c>
      <c r="F539" s="2">
        <v>-279.93279999999999</v>
      </c>
    </row>
    <row r="540" spans="1:6" x14ac:dyDescent="0.3">
      <c r="A540" s="1" t="s">
        <v>98</v>
      </c>
      <c r="B540" s="1">
        <v>501</v>
      </c>
      <c r="C540" s="1" t="s">
        <v>94</v>
      </c>
      <c r="D540" s="2">
        <v>-8.4900000000000003E-2</v>
      </c>
      <c r="E540" s="2">
        <v>2.2864</v>
      </c>
      <c r="F540" s="2">
        <v>2.2444000000000002</v>
      </c>
    </row>
    <row r="541" spans="1:6" x14ac:dyDescent="0.3">
      <c r="A541" s="1" t="s">
        <v>98</v>
      </c>
      <c r="B541" s="1">
        <v>502</v>
      </c>
      <c r="C541" s="1" t="s">
        <v>85</v>
      </c>
      <c r="D541" s="2">
        <v>171.85290000000001</v>
      </c>
      <c r="E541" s="2">
        <v>-0.61199999999999999</v>
      </c>
      <c r="F541" s="2">
        <v>-173.2148</v>
      </c>
    </row>
    <row r="542" spans="1:6" x14ac:dyDescent="0.3">
      <c r="A542" s="1" t="s">
        <v>98</v>
      </c>
      <c r="B542" s="1">
        <v>503</v>
      </c>
      <c r="C542" s="1" t="s">
        <v>95</v>
      </c>
      <c r="D542" s="2">
        <v>170.61799999999999</v>
      </c>
      <c r="E542" s="2">
        <v>0.63029999999999997</v>
      </c>
      <c r="F542" s="2">
        <v>1.0838000000000001</v>
      </c>
    </row>
    <row r="543" spans="1:6" x14ac:dyDescent="0.3">
      <c r="A543" s="1" t="s">
        <v>98</v>
      </c>
      <c r="B543" s="1">
        <v>504</v>
      </c>
      <c r="C543" s="1" t="s">
        <v>87</v>
      </c>
      <c r="D543" s="2">
        <v>346.37349999999998</v>
      </c>
      <c r="E543" s="2">
        <v>0.2001</v>
      </c>
      <c r="F543" s="2">
        <v>1.8844000000000001</v>
      </c>
    </row>
    <row r="544" spans="1:6" x14ac:dyDescent="0.3">
      <c r="A544" s="1" t="s">
        <v>98</v>
      </c>
      <c r="B544" s="1">
        <v>505</v>
      </c>
      <c r="C544" s="1" t="s">
        <v>96</v>
      </c>
      <c r="D544" s="2">
        <v>169.99019999999999</v>
      </c>
      <c r="E544" s="2">
        <v>3.1078999999999999</v>
      </c>
      <c r="F544" s="2">
        <v>177.20070000000001</v>
      </c>
    </row>
    <row r="545" spans="1:6" x14ac:dyDescent="0.3">
      <c r="A545" s="1" t="s">
        <v>98</v>
      </c>
      <c r="B545" s="1">
        <v>116</v>
      </c>
      <c r="C545" s="1" t="s">
        <v>81</v>
      </c>
      <c r="D545" s="2">
        <v>1006.6265</v>
      </c>
      <c r="E545" s="2">
        <v>-641.83119999999997</v>
      </c>
      <c r="F545" s="2">
        <v>-1127.4301</v>
      </c>
    </row>
    <row r="546" spans="1:6" hidden="1" x14ac:dyDescent="0.3">
      <c r="A546" s="1" t="s">
        <v>98</v>
      </c>
      <c r="B546" s="1">
        <v>1002</v>
      </c>
      <c r="C546" s="1" t="s">
        <v>89</v>
      </c>
      <c r="D546" s="2">
        <v>246.5772</v>
      </c>
      <c r="E546" s="2">
        <v>-273.11529999999999</v>
      </c>
      <c r="F546" s="2">
        <v>-351.85469999999998</v>
      </c>
    </row>
    <row r="547" spans="1:6" hidden="1" x14ac:dyDescent="0.3">
      <c r="A547" s="1" t="s">
        <v>98</v>
      </c>
      <c r="B547" s="1">
        <v>1005</v>
      </c>
      <c r="C547" s="1" t="s">
        <v>89</v>
      </c>
      <c r="D547" s="2">
        <v>509.38</v>
      </c>
      <c r="E547" s="2">
        <v>-406.54969999999997</v>
      </c>
      <c r="F547" s="2">
        <v>418.82549999999998</v>
      </c>
    </row>
    <row r="548" spans="1:6" hidden="1" x14ac:dyDescent="0.3">
      <c r="A548" s="1" t="s">
        <v>98</v>
      </c>
      <c r="B548" s="1">
        <v>1006</v>
      </c>
      <c r="C548" s="1" t="s">
        <v>89</v>
      </c>
      <c r="D548" s="2">
        <v>258.18619999999999</v>
      </c>
      <c r="E548" s="2">
        <v>6.0054999999999996</v>
      </c>
      <c r="F548" s="2">
        <v>191.11089999999999</v>
      </c>
    </row>
    <row r="549" spans="1:6" hidden="1" x14ac:dyDescent="0.3">
      <c r="A549" s="1" t="s">
        <v>98</v>
      </c>
      <c r="B549" s="1">
        <v>1008</v>
      </c>
      <c r="C549" s="1" t="s">
        <v>89</v>
      </c>
      <c r="D549" s="2">
        <v>493.82420000000002</v>
      </c>
      <c r="E549" s="2">
        <v>-275.98520000000002</v>
      </c>
      <c r="F549" s="2">
        <v>-639.34760000000006</v>
      </c>
    </row>
    <row r="550" spans="1:6" hidden="1" x14ac:dyDescent="0.3">
      <c r="A550" s="1" t="s">
        <v>98</v>
      </c>
      <c r="B550" s="1">
        <v>1012</v>
      </c>
      <c r="C550" s="1" t="s">
        <v>89</v>
      </c>
      <c r="D550" s="2">
        <v>1125.4903999999999</v>
      </c>
      <c r="E550" s="2">
        <v>-34.145899999999997</v>
      </c>
      <c r="F550" s="2">
        <v>-488.85169999999999</v>
      </c>
    </row>
    <row r="551" spans="1:6" hidden="1" x14ac:dyDescent="0.3">
      <c r="A551" s="1" t="s">
        <v>98</v>
      </c>
      <c r="B551" s="1">
        <v>1015</v>
      </c>
      <c r="C551" s="1" t="s">
        <v>89</v>
      </c>
      <c r="D551" s="2">
        <v>586.45410000000004</v>
      </c>
      <c r="E551" s="2">
        <v>-346.86709999999999</v>
      </c>
      <c r="F551" s="2">
        <v>-994.11980000000005</v>
      </c>
    </row>
    <row r="552" spans="1:6" hidden="1" x14ac:dyDescent="0.3">
      <c r="A552" s="1" t="s">
        <v>98</v>
      </c>
      <c r="B552" s="1">
        <v>1018</v>
      </c>
      <c r="C552" s="1" t="s">
        <v>89</v>
      </c>
      <c r="D552" s="2">
        <v>1081.4184</v>
      </c>
      <c r="E552" s="2">
        <v>-105.374</v>
      </c>
      <c r="F552" s="2">
        <v>-379.03820000000002</v>
      </c>
    </row>
    <row r="553" spans="1:6" hidden="1" x14ac:dyDescent="0.3">
      <c r="A553" s="1" t="s">
        <v>98</v>
      </c>
      <c r="B553" s="1">
        <v>1021</v>
      </c>
      <c r="C553" s="1" t="s">
        <v>89</v>
      </c>
      <c r="D553" s="2">
        <v>356.3304</v>
      </c>
      <c r="E553" s="2">
        <v>-100.8931</v>
      </c>
      <c r="F553" s="2">
        <v>-125.9312</v>
      </c>
    </row>
    <row r="554" spans="1:6" hidden="1" x14ac:dyDescent="0.3">
      <c r="A554" s="1" t="s">
        <v>98</v>
      </c>
      <c r="B554" s="1">
        <v>1022</v>
      </c>
      <c r="C554" s="1" t="s">
        <v>89</v>
      </c>
      <c r="D554" s="2">
        <v>223.1884</v>
      </c>
      <c r="E554" s="2">
        <v>-600.75340000000006</v>
      </c>
      <c r="F554" s="2">
        <v>-1067.7570000000001</v>
      </c>
    </row>
    <row r="555" spans="1:6" hidden="1" x14ac:dyDescent="0.3">
      <c r="A555" s="1" t="s">
        <v>98</v>
      </c>
      <c r="B555" s="1">
        <v>1025</v>
      </c>
      <c r="C555" s="1" t="s">
        <v>89</v>
      </c>
      <c r="D555" s="2">
        <v>215.0309</v>
      </c>
      <c r="E555" s="2">
        <v>-614.94510000000002</v>
      </c>
      <c r="F555" s="2">
        <v>-1065.8348000000001</v>
      </c>
    </row>
    <row r="556" spans="1:6" hidden="1" x14ac:dyDescent="0.3">
      <c r="A556" s="1" t="s">
        <v>98</v>
      </c>
      <c r="B556" s="1">
        <v>1026</v>
      </c>
      <c r="C556" s="1" t="s">
        <v>89</v>
      </c>
      <c r="D556" s="2">
        <v>338.98419999999999</v>
      </c>
      <c r="E556" s="2">
        <v>-3.8382999999999998</v>
      </c>
      <c r="F556" s="2">
        <v>106.16289999999999</v>
      </c>
    </row>
    <row r="557" spans="1:6" hidden="1" x14ac:dyDescent="0.3">
      <c r="A557" s="1" t="s">
        <v>98</v>
      </c>
      <c r="B557" s="1">
        <v>1027</v>
      </c>
      <c r="C557" s="1" t="s">
        <v>89</v>
      </c>
      <c r="D557" s="2">
        <v>1039.0876000000001</v>
      </c>
      <c r="E557" s="2">
        <v>-54.300899999999999</v>
      </c>
      <c r="F557" s="2">
        <v>-806.71500000000003</v>
      </c>
    </row>
    <row r="558" spans="1:6" hidden="1" x14ac:dyDescent="0.3">
      <c r="A558" s="1" t="s">
        <v>98</v>
      </c>
      <c r="B558" s="1">
        <v>1029</v>
      </c>
      <c r="C558" s="1" t="s">
        <v>89</v>
      </c>
      <c r="D558" s="2">
        <v>1341.3717999999999</v>
      </c>
      <c r="E558" s="2">
        <v>-738.44269999999995</v>
      </c>
      <c r="F558" s="2">
        <v>-544.71169999999995</v>
      </c>
    </row>
    <row r="559" spans="1:6" hidden="1" x14ac:dyDescent="0.3">
      <c r="A559" s="1" t="s">
        <v>98</v>
      </c>
      <c r="B559" s="1">
        <v>1031</v>
      </c>
      <c r="C559" s="1" t="s">
        <v>89</v>
      </c>
      <c r="D559" s="2">
        <v>-157.13470000000001</v>
      </c>
      <c r="E559" s="2">
        <v>-597.31389999999999</v>
      </c>
      <c r="F559" s="2">
        <v>-634.64919999999995</v>
      </c>
    </row>
    <row r="560" spans="1:6" hidden="1" x14ac:dyDescent="0.3">
      <c r="A560" s="1" t="s">
        <v>98</v>
      </c>
      <c r="B560" s="1">
        <v>1032</v>
      </c>
      <c r="C560" s="1" t="s">
        <v>89</v>
      </c>
      <c r="D560" s="2">
        <v>-1191.1974</v>
      </c>
      <c r="E560" s="2">
        <v>1254.3584000000001</v>
      </c>
      <c r="F560" s="2">
        <v>20.342500000000001</v>
      </c>
    </row>
    <row r="561" spans="1:6" hidden="1" x14ac:dyDescent="0.3">
      <c r="A561" s="1" t="s">
        <v>98</v>
      </c>
      <c r="B561" s="1">
        <v>1033</v>
      </c>
      <c r="C561" s="1" t="s">
        <v>89</v>
      </c>
      <c r="D561" s="2">
        <v>-1185.1353999999999</v>
      </c>
      <c r="E561" s="2">
        <v>1262.4525000000001</v>
      </c>
      <c r="F561" s="2">
        <v>30.684799999999999</v>
      </c>
    </row>
    <row r="562" spans="1:6" hidden="1" x14ac:dyDescent="0.3">
      <c r="A562" s="1" t="s">
        <v>98</v>
      </c>
      <c r="B562" s="1">
        <v>1035</v>
      </c>
      <c r="C562" s="1" t="s">
        <v>89</v>
      </c>
      <c r="D562" s="2">
        <v>-1181.0363</v>
      </c>
      <c r="E562" s="2">
        <v>1292.4857999999999</v>
      </c>
      <c r="F562" s="2">
        <v>4.9855999999999998</v>
      </c>
    </row>
    <row r="563" spans="1:6" hidden="1" x14ac:dyDescent="0.3">
      <c r="A563" s="1" t="s">
        <v>98</v>
      </c>
      <c r="B563" s="1">
        <v>1038</v>
      </c>
      <c r="C563" s="1" t="s">
        <v>89</v>
      </c>
      <c r="D563" s="2">
        <v>986.66189999999995</v>
      </c>
      <c r="E563" s="2">
        <v>-6.6504000000000003</v>
      </c>
      <c r="F563" s="2">
        <v>-803.02139999999997</v>
      </c>
    </row>
    <row r="564" spans="1:6" x14ac:dyDescent="0.3">
      <c r="A564" s="1" t="s">
        <v>98</v>
      </c>
      <c r="B564" s="1">
        <v>121</v>
      </c>
      <c r="C564" s="1" t="s">
        <v>93</v>
      </c>
      <c r="D564" s="2">
        <v>634.75580000000002</v>
      </c>
      <c r="E564" s="2">
        <v>-100.3793</v>
      </c>
      <c r="F564" s="2">
        <v>98.886799999999994</v>
      </c>
    </row>
    <row r="565" spans="1:6" x14ac:dyDescent="0.3">
      <c r="A565" s="1" t="s">
        <v>98</v>
      </c>
      <c r="B565" s="1">
        <v>13</v>
      </c>
      <c r="C565" s="1" t="s">
        <v>80</v>
      </c>
      <c r="D565" s="2">
        <v>279.9846</v>
      </c>
      <c r="E565" s="2">
        <v>6.0008999999999997</v>
      </c>
      <c r="F565" s="2">
        <v>202.75829999999999</v>
      </c>
    </row>
    <row r="566" spans="1:6" x14ac:dyDescent="0.3">
      <c r="A566" s="1" t="s">
        <v>98</v>
      </c>
      <c r="B566" s="1">
        <v>34</v>
      </c>
      <c r="C566" s="1" t="s">
        <v>74</v>
      </c>
      <c r="D566" s="2">
        <v>756.23329999999999</v>
      </c>
      <c r="E566" s="2">
        <v>-104.93980000000001</v>
      </c>
      <c r="F566" s="2">
        <v>-663.12879999999996</v>
      </c>
    </row>
    <row r="567" spans="1:6" x14ac:dyDescent="0.3">
      <c r="A567" s="1" t="s">
        <v>98</v>
      </c>
      <c r="B567" s="1">
        <v>4</v>
      </c>
      <c r="C567" s="1" t="s">
        <v>88</v>
      </c>
      <c r="D567" s="2">
        <v>1041.0697</v>
      </c>
      <c r="E567" s="2">
        <v>-529.51969999999994</v>
      </c>
      <c r="F567" s="2">
        <v>-1098.4879000000001</v>
      </c>
    </row>
    <row r="568" spans="1:6" x14ac:dyDescent="0.3">
      <c r="A568" s="1" t="s">
        <v>98</v>
      </c>
      <c r="B568" s="1">
        <v>42</v>
      </c>
      <c r="C568" s="1" t="s">
        <v>90</v>
      </c>
      <c r="D568" s="2">
        <v>1082.0291999999999</v>
      </c>
      <c r="E568" s="2">
        <v>-105.4744</v>
      </c>
      <c r="F568" s="2">
        <v>-354.27280000000002</v>
      </c>
    </row>
    <row r="569" spans="1:6" x14ac:dyDescent="0.3">
      <c r="A569" s="1" t="s">
        <v>98</v>
      </c>
      <c r="B569" s="1">
        <v>506</v>
      </c>
      <c r="C569" s="1" t="s">
        <v>82</v>
      </c>
      <c r="D569" s="2">
        <v>1147.6349</v>
      </c>
      <c r="E569" s="2">
        <v>-33.7151</v>
      </c>
      <c r="F569" s="2">
        <v>-459.23360000000002</v>
      </c>
    </row>
    <row r="570" spans="1:6" x14ac:dyDescent="0.3">
      <c r="A570" s="1" t="s">
        <v>98</v>
      </c>
      <c r="B570" s="1">
        <v>507</v>
      </c>
      <c r="C570" s="1" t="s">
        <v>83</v>
      </c>
      <c r="D570" s="2">
        <v>674.85029999999995</v>
      </c>
      <c r="E570" s="2">
        <v>-42.122199999999999</v>
      </c>
      <c r="F570" s="2">
        <v>-1091.8078</v>
      </c>
    </row>
    <row r="571" spans="1:6" x14ac:dyDescent="0.3">
      <c r="A571" s="1" t="s">
        <v>98</v>
      </c>
      <c r="B571" s="1">
        <v>509</v>
      </c>
      <c r="C571" s="1" t="s">
        <v>97</v>
      </c>
      <c r="D571" s="2">
        <v>485.99560000000002</v>
      </c>
      <c r="E571" s="2">
        <v>-397.28399999999999</v>
      </c>
      <c r="F571" s="2">
        <v>445.82760000000002</v>
      </c>
    </row>
    <row r="572" spans="1:6" x14ac:dyDescent="0.3">
      <c r="A572" s="1" t="s">
        <v>98</v>
      </c>
      <c r="B572" s="1">
        <v>57</v>
      </c>
      <c r="C572" s="1" t="s">
        <v>91</v>
      </c>
      <c r="D572" s="2">
        <v>380.76010000000002</v>
      </c>
      <c r="E572" s="2">
        <v>-100.874</v>
      </c>
      <c r="F572" s="2">
        <v>-129.09469999999999</v>
      </c>
    </row>
    <row r="573" spans="1:6" x14ac:dyDescent="0.3">
      <c r="A573" s="1" t="s">
        <v>98</v>
      </c>
      <c r="B573" s="1">
        <v>87</v>
      </c>
      <c r="C573" s="1" t="s">
        <v>86</v>
      </c>
      <c r="D573" s="2">
        <v>1193.3965000000001</v>
      </c>
      <c r="E573" s="2">
        <v>-647.45249999999999</v>
      </c>
      <c r="F573" s="2">
        <v>-967.51469999999995</v>
      </c>
    </row>
    <row r="574" spans="1:6" x14ac:dyDescent="0.3">
      <c r="A574" s="1" t="s">
        <v>98</v>
      </c>
      <c r="B574" s="1">
        <v>92</v>
      </c>
      <c r="C574" s="1" t="s">
        <v>92</v>
      </c>
      <c r="D574" s="2">
        <v>530.78909999999996</v>
      </c>
      <c r="E574" s="2">
        <v>-105.5318</v>
      </c>
      <c r="F574" s="2">
        <v>-859.3895</v>
      </c>
    </row>
    <row r="575" spans="1:6" x14ac:dyDescent="0.3">
      <c r="A575" s="1" t="s">
        <v>98</v>
      </c>
      <c r="B575" s="1">
        <v>96</v>
      </c>
      <c r="C575" s="1" t="s">
        <v>84</v>
      </c>
      <c r="D575" s="2">
        <v>424.96019999999999</v>
      </c>
      <c r="E575" s="2">
        <v>6.1753999999999998</v>
      </c>
      <c r="F575" s="2">
        <v>305.8263</v>
      </c>
    </row>
    <row r="576" spans="1:6" x14ac:dyDescent="0.3">
      <c r="A576" s="1" t="s">
        <v>109</v>
      </c>
      <c r="B576" s="1">
        <v>1005</v>
      </c>
      <c r="C576" s="1" t="s">
        <v>75</v>
      </c>
      <c r="D576" s="2">
        <v>575.67660000000001</v>
      </c>
      <c r="E576" s="2">
        <v>-53.408299999999997</v>
      </c>
      <c r="F576" s="2">
        <v>347.34100000000001</v>
      </c>
    </row>
    <row r="577" spans="1:6" x14ac:dyDescent="0.3">
      <c r="A577" s="1" t="s">
        <v>109</v>
      </c>
      <c r="B577" s="1">
        <v>1012</v>
      </c>
      <c r="C577" s="1" t="s">
        <v>76</v>
      </c>
      <c r="D577" s="2">
        <v>1296.7348999999999</v>
      </c>
      <c r="E577" s="2">
        <v>-44.492600000000003</v>
      </c>
      <c r="F577" s="2">
        <v>-489.34469999999999</v>
      </c>
    </row>
    <row r="578" spans="1:6" x14ac:dyDescent="0.3">
      <c r="A578" s="1" t="s">
        <v>109</v>
      </c>
      <c r="B578" s="1">
        <v>1017</v>
      </c>
      <c r="C578" s="1" t="s">
        <v>77</v>
      </c>
      <c r="D578" s="2">
        <v>604.62</v>
      </c>
      <c r="E578" s="2">
        <v>-43.492400000000004</v>
      </c>
      <c r="F578" s="2">
        <v>-1114.9730999999999</v>
      </c>
    </row>
    <row r="579" spans="1:6" x14ac:dyDescent="0.3">
      <c r="A579" s="1" t="s">
        <v>109</v>
      </c>
      <c r="B579" s="1">
        <v>1001</v>
      </c>
      <c r="C579" s="1" t="s">
        <v>78</v>
      </c>
      <c r="D579" s="2">
        <v>-115.61799999999999</v>
      </c>
      <c r="E579" s="2">
        <v>-52.151499999999999</v>
      </c>
      <c r="F579" s="2">
        <v>-283.08890000000002</v>
      </c>
    </row>
    <row r="580" spans="1:6" x14ac:dyDescent="0.3">
      <c r="A580" s="1" t="s">
        <v>109</v>
      </c>
      <c r="B580" s="1">
        <v>501</v>
      </c>
      <c r="C580" s="1" t="s">
        <v>94</v>
      </c>
      <c r="D580" s="2">
        <v>-0.14779999999999999</v>
      </c>
      <c r="E580" s="2">
        <v>-0.91820000000000002</v>
      </c>
      <c r="F580" s="2">
        <v>-0.1129</v>
      </c>
    </row>
    <row r="581" spans="1:6" x14ac:dyDescent="0.3">
      <c r="A581" s="1" t="s">
        <v>109</v>
      </c>
      <c r="B581" s="1">
        <v>502</v>
      </c>
      <c r="C581" s="1" t="s">
        <v>85</v>
      </c>
      <c r="D581" s="2">
        <v>172.00309999999999</v>
      </c>
      <c r="E581" s="2">
        <v>-0.15670000000000001</v>
      </c>
      <c r="F581" s="2">
        <v>-175.39689999999999</v>
      </c>
    </row>
    <row r="582" spans="1:6" x14ac:dyDescent="0.3">
      <c r="A582" s="1" t="s">
        <v>109</v>
      </c>
      <c r="B582" s="1">
        <v>503</v>
      </c>
      <c r="C582" s="1" t="s">
        <v>95</v>
      </c>
      <c r="D582" s="2">
        <v>170.5735</v>
      </c>
      <c r="E582" s="2">
        <v>-1.1456999999999999</v>
      </c>
      <c r="F582" s="2">
        <v>-1.0931</v>
      </c>
    </row>
    <row r="583" spans="1:6" x14ac:dyDescent="0.3">
      <c r="A583" s="1" t="s">
        <v>109</v>
      </c>
      <c r="B583" s="1">
        <v>504</v>
      </c>
      <c r="C583" s="1" t="s">
        <v>87</v>
      </c>
      <c r="D583" s="2">
        <v>346.33370000000002</v>
      </c>
      <c r="E583" s="2">
        <v>-0.11310000000000001</v>
      </c>
      <c r="F583" s="2">
        <v>-8.6400000000000005E-2</v>
      </c>
    </row>
    <row r="584" spans="1:6" x14ac:dyDescent="0.3">
      <c r="A584" s="1" t="s">
        <v>109</v>
      </c>
      <c r="B584" s="1">
        <v>505</v>
      </c>
      <c r="C584" s="1" t="s">
        <v>96</v>
      </c>
      <c r="D584" s="2">
        <v>169.74</v>
      </c>
      <c r="E584" s="2">
        <v>-0.87009999999999998</v>
      </c>
      <c r="F584" s="2">
        <v>175.0402</v>
      </c>
    </row>
    <row r="585" spans="1:6" x14ac:dyDescent="0.3">
      <c r="A585" s="1" t="s">
        <v>109</v>
      </c>
      <c r="B585" s="1">
        <v>116</v>
      </c>
      <c r="C585" s="1" t="s">
        <v>81</v>
      </c>
      <c r="D585" s="2">
        <v>1013.1879</v>
      </c>
      <c r="E585" s="2">
        <v>-622.46770000000004</v>
      </c>
      <c r="F585" s="2">
        <v>-1136.6288999999999</v>
      </c>
    </row>
    <row r="586" spans="1:6" x14ac:dyDescent="0.3">
      <c r="A586" s="1" t="s">
        <v>109</v>
      </c>
      <c r="B586" s="1">
        <v>121</v>
      </c>
      <c r="C586" s="1" t="s">
        <v>93</v>
      </c>
      <c r="D586" s="2">
        <v>635.43309999999997</v>
      </c>
      <c r="E586" s="2">
        <v>-99.613399999999999</v>
      </c>
      <c r="F586" s="2">
        <v>95.958200000000005</v>
      </c>
    </row>
    <row r="587" spans="1:6" x14ac:dyDescent="0.3">
      <c r="A587" s="1" t="s">
        <v>109</v>
      </c>
      <c r="B587" s="1">
        <v>13</v>
      </c>
      <c r="C587" s="1" t="s">
        <v>80</v>
      </c>
      <c r="D587" s="2">
        <v>279.67439999999999</v>
      </c>
      <c r="E587" s="2">
        <v>2.5861999999999998</v>
      </c>
      <c r="F587" s="2">
        <v>200.75739999999999</v>
      </c>
    </row>
    <row r="588" spans="1:6" hidden="1" x14ac:dyDescent="0.3">
      <c r="A588" s="1" t="s">
        <v>109</v>
      </c>
      <c r="B588" s="1">
        <v>1003</v>
      </c>
      <c r="C588" s="1" t="s">
        <v>89</v>
      </c>
      <c r="D588" s="2">
        <v>512.24009999999998</v>
      </c>
      <c r="E588" s="2">
        <v>-410.90359999999998</v>
      </c>
      <c r="F588" s="2">
        <v>411.83420000000001</v>
      </c>
    </row>
    <row r="589" spans="1:6" hidden="1" x14ac:dyDescent="0.3">
      <c r="A589" s="1" t="s">
        <v>109</v>
      </c>
      <c r="B589" s="1">
        <v>1006</v>
      </c>
      <c r="C589" s="1" t="s">
        <v>89</v>
      </c>
      <c r="D589" s="2">
        <v>249.2141</v>
      </c>
      <c r="E589" s="2">
        <v>-269.8965</v>
      </c>
      <c r="F589" s="2">
        <v>-357.35730000000001</v>
      </c>
    </row>
    <row r="590" spans="1:6" hidden="1" x14ac:dyDescent="0.3">
      <c r="A590" s="1" t="s">
        <v>109</v>
      </c>
      <c r="B590" s="1">
        <v>1009</v>
      </c>
      <c r="C590" s="1" t="s">
        <v>89</v>
      </c>
      <c r="D590" s="2">
        <v>496.77159999999998</v>
      </c>
      <c r="E590" s="2">
        <v>-267.09980000000002</v>
      </c>
      <c r="F590" s="2">
        <v>-644.56859999999995</v>
      </c>
    </row>
    <row r="591" spans="1:6" hidden="1" x14ac:dyDescent="0.3">
      <c r="A591" s="1" t="s">
        <v>109</v>
      </c>
      <c r="B591" s="1">
        <v>1011</v>
      </c>
      <c r="C591" s="1" t="s">
        <v>89</v>
      </c>
      <c r="D591" s="2">
        <v>1126.2424000000001</v>
      </c>
      <c r="E591" s="2">
        <v>-21.913900000000002</v>
      </c>
      <c r="F591" s="2">
        <v>-490.3021</v>
      </c>
    </row>
    <row r="592" spans="1:6" hidden="1" x14ac:dyDescent="0.3">
      <c r="A592" s="1" t="s">
        <v>109</v>
      </c>
      <c r="B592" s="1">
        <v>1015</v>
      </c>
      <c r="C592" s="1" t="s">
        <v>89</v>
      </c>
      <c r="D592" s="2">
        <v>698.48069999999996</v>
      </c>
      <c r="E592" s="2">
        <v>-25.825700000000001</v>
      </c>
      <c r="F592" s="2">
        <v>-1064.2696000000001</v>
      </c>
    </row>
    <row r="593" spans="1:6" hidden="1" x14ac:dyDescent="0.3">
      <c r="A593" s="1" t="s">
        <v>109</v>
      </c>
      <c r="B593" s="1">
        <v>1016</v>
      </c>
      <c r="C593" s="1" t="s">
        <v>89</v>
      </c>
      <c r="D593" s="2">
        <v>590.37159999999994</v>
      </c>
      <c r="E593" s="2">
        <v>-332.78820000000002</v>
      </c>
      <c r="F593" s="2">
        <v>-1000.0792</v>
      </c>
    </row>
    <row r="594" spans="1:6" hidden="1" x14ac:dyDescent="0.3">
      <c r="A594" s="1" t="s">
        <v>109</v>
      </c>
      <c r="B594" s="1">
        <v>1020</v>
      </c>
      <c r="C594" s="1" t="s">
        <v>89</v>
      </c>
      <c r="D594" s="2">
        <v>-151.4898</v>
      </c>
      <c r="E594" s="2">
        <v>-593.79510000000005</v>
      </c>
      <c r="F594" s="2">
        <v>-644.68709999999999</v>
      </c>
    </row>
    <row r="595" spans="1:6" hidden="1" x14ac:dyDescent="0.3">
      <c r="A595" s="1" t="s">
        <v>109</v>
      </c>
      <c r="B595" s="1">
        <v>1021</v>
      </c>
      <c r="C595" s="1" t="s">
        <v>89</v>
      </c>
      <c r="D595" s="2">
        <v>-39.144599999999997</v>
      </c>
      <c r="E595" s="2">
        <v>-339.93169999999998</v>
      </c>
      <c r="F595" s="2">
        <v>-616.53449999999998</v>
      </c>
    </row>
    <row r="596" spans="1:6" hidden="1" x14ac:dyDescent="0.3">
      <c r="A596" s="1" t="s">
        <v>109</v>
      </c>
      <c r="B596" s="1">
        <v>1022</v>
      </c>
      <c r="C596" s="1" t="s">
        <v>89</v>
      </c>
      <c r="D596" s="2">
        <v>1082.6543999999999</v>
      </c>
      <c r="E596" s="2">
        <v>-94.8185</v>
      </c>
      <c r="F596" s="2">
        <v>-381.44170000000003</v>
      </c>
    </row>
    <row r="597" spans="1:6" hidden="1" x14ac:dyDescent="0.3">
      <c r="A597" s="1" t="s">
        <v>109</v>
      </c>
      <c r="B597" s="1">
        <v>1023</v>
      </c>
      <c r="C597" s="1" t="s">
        <v>89</v>
      </c>
      <c r="D597" s="2">
        <v>1048.1824999999999</v>
      </c>
      <c r="E597" s="2">
        <v>-27.678899999999999</v>
      </c>
      <c r="F597" s="2">
        <v>-836.82460000000003</v>
      </c>
    </row>
    <row r="598" spans="1:6" hidden="1" x14ac:dyDescent="0.3">
      <c r="A598" s="1" t="s">
        <v>109</v>
      </c>
      <c r="B598" s="1">
        <v>1025</v>
      </c>
      <c r="C598" s="1" t="s">
        <v>89</v>
      </c>
      <c r="D598" s="2">
        <v>338.85449999999997</v>
      </c>
      <c r="E598" s="2">
        <v>-5.6980000000000004</v>
      </c>
      <c r="F598" s="2">
        <v>104.1018</v>
      </c>
    </row>
    <row r="599" spans="1:6" hidden="1" x14ac:dyDescent="0.3">
      <c r="A599" s="1" t="s">
        <v>109</v>
      </c>
      <c r="B599" s="1">
        <v>1030</v>
      </c>
      <c r="C599" s="1" t="s">
        <v>89</v>
      </c>
      <c r="D599" s="2">
        <v>229.42140000000001</v>
      </c>
      <c r="E599" s="2">
        <v>-589.06309999999996</v>
      </c>
      <c r="F599" s="2">
        <v>-1077.2926</v>
      </c>
    </row>
    <row r="600" spans="1:6" hidden="1" x14ac:dyDescent="0.3">
      <c r="A600" s="1" t="s">
        <v>109</v>
      </c>
      <c r="B600" s="1">
        <v>1031</v>
      </c>
      <c r="C600" s="1" t="s">
        <v>89</v>
      </c>
      <c r="D600" s="2">
        <v>221.32990000000001</v>
      </c>
      <c r="E600" s="2">
        <v>-603.21879999999999</v>
      </c>
      <c r="F600" s="2">
        <v>-1075.5734</v>
      </c>
    </row>
    <row r="601" spans="1:6" x14ac:dyDescent="0.3">
      <c r="A601" s="1" t="s">
        <v>109</v>
      </c>
      <c r="B601" s="1">
        <v>34</v>
      </c>
      <c r="C601" s="1" t="s">
        <v>74</v>
      </c>
      <c r="D601" s="2">
        <v>757.78790000000004</v>
      </c>
      <c r="E601" s="2">
        <v>-93.557500000000005</v>
      </c>
      <c r="F601" s="2">
        <v>-665.89800000000002</v>
      </c>
    </row>
    <row r="602" spans="1:6" x14ac:dyDescent="0.3">
      <c r="A602" s="1" t="s">
        <v>109</v>
      </c>
      <c r="B602" s="1">
        <v>4</v>
      </c>
      <c r="C602" s="1" t="s">
        <v>88</v>
      </c>
      <c r="D602" s="2">
        <v>1046.7144000000001</v>
      </c>
      <c r="E602" s="2">
        <v>-510.12889999999999</v>
      </c>
      <c r="F602" s="2">
        <v>-1106.3036999999999</v>
      </c>
    </row>
    <row r="603" spans="1:6" x14ac:dyDescent="0.3">
      <c r="A603" s="1" t="s">
        <v>109</v>
      </c>
      <c r="B603" s="1">
        <v>42</v>
      </c>
      <c r="C603" s="1" t="s">
        <v>90</v>
      </c>
      <c r="D603" s="2">
        <v>1083.2429999999999</v>
      </c>
      <c r="E603" s="2">
        <v>-95.257900000000006</v>
      </c>
      <c r="F603" s="2">
        <v>-356.68669999999997</v>
      </c>
    </row>
    <row r="604" spans="1:6" x14ac:dyDescent="0.3">
      <c r="A604" s="1" t="s">
        <v>109</v>
      </c>
      <c r="B604" s="1">
        <v>506</v>
      </c>
      <c r="C604" s="1" t="s">
        <v>82</v>
      </c>
      <c r="D604" s="2">
        <v>1148.348</v>
      </c>
      <c r="E604" s="2">
        <v>-21.662800000000001</v>
      </c>
      <c r="F604" s="2">
        <v>-460.65879999999999</v>
      </c>
    </row>
    <row r="605" spans="1:6" x14ac:dyDescent="0.3">
      <c r="A605" s="1" t="s">
        <v>109</v>
      </c>
      <c r="B605" s="1">
        <v>507</v>
      </c>
      <c r="C605" s="1" t="s">
        <v>83</v>
      </c>
      <c r="D605" s="2">
        <v>676.33180000000004</v>
      </c>
      <c r="E605" s="2">
        <v>-26.052600000000002</v>
      </c>
      <c r="F605" s="2">
        <v>-1093.8471999999999</v>
      </c>
    </row>
    <row r="606" spans="1:6" x14ac:dyDescent="0.3">
      <c r="A606" s="1" t="s">
        <v>109</v>
      </c>
      <c r="B606" s="1">
        <v>509</v>
      </c>
      <c r="C606" s="1" t="s">
        <v>97</v>
      </c>
      <c r="D606" s="2">
        <v>488.75970000000001</v>
      </c>
      <c r="E606" s="2">
        <v>-402.10079999999999</v>
      </c>
      <c r="F606" s="2">
        <v>438.94920000000002</v>
      </c>
    </row>
    <row r="607" spans="1:6" x14ac:dyDescent="0.3">
      <c r="A607" s="1" t="s">
        <v>109</v>
      </c>
      <c r="B607" s="1">
        <v>57</v>
      </c>
      <c r="C607" s="1" t="s">
        <v>91</v>
      </c>
      <c r="D607" s="2">
        <v>381.7079</v>
      </c>
      <c r="E607" s="2">
        <v>-99.336200000000005</v>
      </c>
      <c r="F607" s="2">
        <v>-132.28960000000001</v>
      </c>
    </row>
    <row r="608" spans="1:6" x14ac:dyDescent="0.3">
      <c r="A608" s="1" t="s">
        <v>109</v>
      </c>
      <c r="B608" s="1">
        <v>87</v>
      </c>
      <c r="C608" s="1" t="s">
        <v>86</v>
      </c>
      <c r="D608" s="2">
        <v>1199.7543000000001</v>
      </c>
      <c r="E608" s="2">
        <v>-628.63059999999996</v>
      </c>
      <c r="F608" s="2">
        <v>-976.48429999999996</v>
      </c>
    </row>
    <row r="609" spans="1:6" x14ac:dyDescent="0.3">
      <c r="A609" s="1" t="s">
        <v>109</v>
      </c>
      <c r="B609" s="1">
        <v>92</v>
      </c>
      <c r="C609" s="1" t="s">
        <v>92</v>
      </c>
      <c r="D609" s="2">
        <v>532.5521</v>
      </c>
      <c r="E609" s="2">
        <v>-93.484399999999994</v>
      </c>
      <c r="F609" s="2">
        <v>-862.41219999999998</v>
      </c>
    </row>
    <row r="610" spans="1:6" x14ac:dyDescent="0.3">
      <c r="A610" s="1" t="s">
        <v>109</v>
      </c>
      <c r="B610" s="1">
        <v>96</v>
      </c>
      <c r="C610" s="1" t="s">
        <v>84</v>
      </c>
      <c r="D610" s="2">
        <v>424.54140000000001</v>
      </c>
      <c r="E610" s="2">
        <v>2.7151999999999998</v>
      </c>
      <c r="F610" s="2">
        <v>304.00139999999999</v>
      </c>
    </row>
    <row r="611" spans="1:6" x14ac:dyDescent="0.3">
      <c r="A611" s="1" t="s">
        <v>100</v>
      </c>
      <c r="B611" s="1">
        <v>1010</v>
      </c>
      <c r="C611" s="1" t="s">
        <v>75</v>
      </c>
      <c r="D611" s="2">
        <v>575.43460000000005</v>
      </c>
      <c r="E611" s="2">
        <v>-53.204999999999998</v>
      </c>
      <c r="F611" s="2">
        <v>348.20100000000002</v>
      </c>
    </row>
    <row r="612" spans="1:6" x14ac:dyDescent="0.3">
      <c r="A612" s="1" t="s">
        <v>100</v>
      </c>
      <c r="B612" s="1">
        <v>1008</v>
      </c>
      <c r="C612" s="1" t="s">
        <v>76</v>
      </c>
      <c r="D612" s="2">
        <v>1296.2637</v>
      </c>
      <c r="E612" s="2">
        <v>-49.858600000000003</v>
      </c>
      <c r="F612" s="2">
        <v>-488.77679999999998</v>
      </c>
    </row>
    <row r="613" spans="1:6" x14ac:dyDescent="0.3">
      <c r="A613" s="1" t="s">
        <v>100</v>
      </c>
      <c r="B613" s="1">
        <v>1018</v>
      </c>
      <c r="C613" s="1" t="s">
        <v>77</v>
      </c>
      <c r="D613" s="2">
        <v>603.95330000000001</v>
      </c>
      <c r="E613" s="2">
        <v>-47.664400000000001</v>
      </c>
      <c r="F613" s="2">
        <v>-1114.1817000000001</v>
      </c>
    </row>
    <row r="614" spans="1:6" x14ac:dyDescent="0.3">
      <c r="A614" s="1" t="s">
        <v>100</v>
      </c>
      <c r="B614" s="1">
        <v>1001</v>
      </c>
      <c r="C614" s="1" t="s">
        <v>78</v>
      </c>
      <c r="D614" s="2">
        <v>-116.047</v>
      </c>
      <c r="E614" s="2">
        <v>-50.867899999999999</v>
      </c>
      <c r="F614" s="2">
        <v>-282.0419</v>
      </c>
    </row>
    <row r="615" spans="1:6" x14ac:dyDescent="0.3">
      <c r="A615" s="1" t="s">
        <v>100</v>
      </c>
      <c r="B615" s="1">
        <v>501</v>
      </c>
      <c r="C615" s="1" t="s">
        <v>94</v>
      </c>
      <c r="D615" s="2">
        <v>-0.26750000000000002</v>
      </c>
      <c r="E615" s="2">
        <v>0.71179999999999999</v>
      </c>
      <c r="F615" s="2">
        <v>0.73799999999999999</v>
      </c>
    </row>
    <row r="616" spans="1:6" x14ac:dyDescent="0.3">
      <c r="A616" s="1" t="s">
        <v>100</v>
      </c>
      <c r="B616" s="1">
        <v>502</v>
      </c>
      <c r="C616" s="1" t="s">
        <v>85</v>
      </c>
      <c r="D616" s="2">
        <v>171.83160000000001</v>
      </c>
      <c r="E616" s="2">
        <v>0.25829999999999997</v>
      </c>
      <c r="F616" s="2">
        <v>-174.59190000000001</v>
      </c>
    </row>
    <row r="617" spans="1:6" x14ac:dyDescent="0.3">
      <c r="A617" s="1" t="s">
        <v>100</v>
      </c>
      <c r="B617" s="1">
        <v>503</v>
      </c>
      <c r="C617" s="1" t="s">
        <v>95</v>
      </c>
      <c r="D617" s="2">
        <v>170.4425</v>
      </c>
      <c r="E617" s="2">
        <v>-0.2286</v>
      </c>
      <c r="F617" s="2">
        <v>-0.28970000000000001</v>
      </c>
    </row>
    <row r="618" spans="1:6" x14ac:dyDescent="0.3">
      <c r="A618" s="1" t="s">
        <v>100</v>
      </c>
      <c r="B618" s="1">
        <v>504</v>
      </c>
      <c r="C618" s="1" t="s">
        <v>87</v>
      </c>
      <c r="D618" s="2">
        <v>346.20569999999998</v>
      </c>
      <c r="E618" s="2">
        <v>4.5499999999999999E-2</v>
      </c>
      <c r="F618" s="2">
        <v>0.66049999999999998</v>
      </c>
    </row>
    <row r="619" spans="1:6" x14ac:dyDescent="0.3">
      <c r="A619" s="1" t="s">
        <v>100</v>
      </c>
      <c r="B619" s="1">
        <v>505</v>
      </c>
      <c r="C619" s="1" t="s">
        <v>96</v>
      </c>
      <c r="D619" s="2">
        <v>169.6678</v>
      </c>
      <c r="E619" s="2">
        <v>0.52180000000000004</v>
      </c>
      <c r="F619" s="2">
        <v>175.834</v>
      </c>
    </row>
    <row r="620" spans="1:6" x14ac:dyDescent="0.3">
      <c r="A620" s="1" t="s">
        <v>100</v>
      </c>
      <c r="B620" s="1">
        <v>121</v>
      </c>
      <c r="C620" s="1" t="s">
        <v>93</v>
      </c>
      <c r="D620" s="2">
        <v>634.92380000000003</v>
      </c>
      <c r="E620" s="2">
        <v>-100.38120000000001</v>
      </c>
      <c r="F620" s="2">
        <v>96.922799999999995</v>
      </c>
    </row>
    <row r="621" spans="1:6" x14ac:dyDescent="0.3">
      <c r="A621" s="1" t="s">
        <v>100</v>
      </c>
      <c r="B621" s="1">
        <v>13</v>
      </c>
      <c r="C621" s="1" t="s">
        <v>80</v>
      </c>
      <c r="D621" s="2">
        <v>279.62630000000001</v>
      </c>
      <c r="E621" s="2">
        <v>3.5949</v>
      </c>
      <c r="F621" s="2">
        <v>201.5102</v>
      </c>
    </row>
    <row r="622" spans="1:6" x14ac:dyDescent="0.3">
      <c r="A622" s="1" t="s">
        <v>100</v>
      </c>
      <c r="B622" s="1">
        <v>34</v>
      </c>
      <c r="C622" s="1" t="s">
        <v>74</v>
      </c>
      <c r="D622" s="2">
        <v>757.06629999999996</v>
      </c>
      <c r="E622" s="2">
        <v>-97.072900000000004</v>
      </c>
      <c r="F622" s="2">
        <v>-665.01070000000004</v>
      </c>
    </row>
    <row r="623" spans="1:6" hidden="1" x14ac:dyDescent="0.3">
      <c r="A623" s="1" t="s">
        <v>100</v>
      </c>
      <c r="B623" s="1">
        <v>1002</v>
      </c>
      <c r="C623" s="1" t="s">
        <v>89</v>
      </c>
      <c r="D623" s="2">
        <v>247.80250000000001</v>
      </c>
      <c r="E623" s="2">
        <v>-270.35079999999999</v>
      </c>
      <c r="F623" s="2">
        <v>-355.77289999999999</v>
      </c>
    </row>
    <row r="624" spans="1:6" hidden="1" x14ac:dyDescent="0.3">
      <c r="A624" s="1" t="s">
        <v>100</v>
      </c>
      <c r="B624" s="1">
        <v>1006</v>
      </c>
      <c r="C624" s="1" t="s">
        <v>89</v>
      </c>
      <c r="D624" s="2">
        <v>257.85090000000002</v>
      </c>
      <c r="E624" s="2">
        <v>3.6038000000000001</v>
      </c>
      <c r="F624" s="2">
        <v>189.85419999999999</v>
      </c>
    </row>
    <row r="625" spans="1:6" hidden="1" x14ac:dyDescent="0.3">
      <c r="A625" s="1" t="s">
        <v>100</v>
      </c>
      <c r="B625" s="1">
        <v>1007</v>
      </c>
      <c r="C625" s="1" t="s">
        <v>89</v>
      </c>
      <c r="D625" s="2">
        <v>1125.875</v>
      </c>
      <c r="E625" s="2">
        <v>-26.534400000000002</v>
      </c>
      <c r="F625" s="2">
        <v>-489.74619999999999</v>
      </c>
    </row>
    <row r="626" spans="1:6" hidden="1" x14ac:dyDescent="0.3">
      <c r="A626" s="1" t="s">
        <v>100</v>
      </c>
      <c r="B626" s="1">
        <v>1009</v>
      </c>
      <c r="C626" s="1" t="s">
        <v>89</v>
      </c>
      <c r="D626" s="2">
        <v>510.50060000000002</v>
      </c>
      <c r="E626" s="2">
        <v>-410.10590000000002</v>
      </c>
      <c r="F626" s="2">
        <v>413.8331</v>
      </c>
    </row>
    <row r="627" spans="1:6" hidden="1" x14ac:dyDescent="0.3">
      <c r="A627" s="1" t="s">
        <v>100</v>
      </c>
      <c r="B627" s="1">
        <v>1011</v>
      </c>
      <c r="C627" s="1" t="s">
        <v>89</v>
      </c>
      <c r="D627" s="2">
        <v>697.91600000000005</v>
      </c>
      <c r="E627" s="2">
        <v>-30.264500000000002</v>
      </c>
      <c r="F627" s="2">
        <v>-1063.5559000000001</v>
      </c>
    </row>
    <row r="628" spans="1:6" hidden="1" x14ac:dyDescent="0.3">
      <c r="A628" s="1" t="s">
        <v>100</v>
      </c>
      <c r="B628" s="1">
        <v>1012</v>
      </c>
      <c r="C628" s="1" t="s">
        <v>89</v>
      </c>
      <c r="D628" s="2">
        <v>495.29759999999999</v>
      </c>
      <c r="E628" s="2">
        <v>-269.41699999999997</v>
      </c>
      <c r="F628" s="2">
        <v>-643.08849999999995</v>
      </c>
    </row>
    <row r="629" spans="1:6" hidden="1" x14ac:dyDescent="0.3">
      <c r="A629" s="1" t="s">
        <v>100</v>
      </c>
      <c r="B629" s="1">
        <v>1015</v>
      </c>
      <c r="C629" s="1" t="s">
        <v>89</v>
      </c>
      <c r="D629" s="2">
        <v>356.67959999999999</v>
      </c>
      <c r="E629" s="2">
        <v>-99.84</v>
      </c>
      <c r="F629" s="2">
        <v>-128.11269999999999</v>
      </c>
    </row>
    <row r="630" spans="1:6" hidden="1" x14ac:dyDescent="0.3">
      <c r="A630" s="1" t="s">
        <v>100</v>
      </c>
      <c r="B630" s="1">
        <v>1017</v>
      </c>
      <c r="C630" s="1" t="s">
        <v>89</v>
      </c>
      <c r="D630" s="2">
        <v>588.50530000000003</v>
      </c>
      <c r="E630" s="2">
        <v>-336.5428</v>
      </c>
      <c r="F630" s="2">
        <v>-998.46360000000004</v>
      </c>
    </row>
    <row r="631" spans="1:6" hidden="1" x14ac:dyDescent="0.3">
      <c r="A631" s="1" t="s">
        <v>100</v>
      </c>
      <c r="B631" s="1">
        <v>1019</v>
      </c>
      <c r="C631" s="1" t="s">
        <v>89</v>
      </c>
      <c r="D631" s="2">
        <v>1289.8965000000001</v>
      </c>
      <c r="E631" s="2">
        <v>4.8715000000000002</v>
      </c>
      <c r="F631" s="2">
        <v>-673.87030000000004</v>
      </c>
    </row>
    <row r="632" spans="1:6" hidden="1" x14ac:dyDescent="0.3">
      <c r="A632" s="1" t="s">
        <v>100</v>
      </c>
      <c r="B632" s="1">
        <v>1023</v>
      </c>
      <c r="C632" s="1" t="s">
        <v>89</v>
      </c>
      <c r="D632" s="2">
        <v>226.32079999999999</v>
      </c>
      <c r="E632" s="2">
        <v>-591.19920000000002</v>
      </c>
      <c r="F632" s="2">
        <v>-1074.8494000000001</v>
      </c>
    </row>
    <row r="633" spans="1:6" hidden="1" x14ac:dyDescent="0.3">
      <c r="A633" s="1" t="s">
        <v>100</v>
      </c>
      <c r="B633" s="1">
        <v>1025</v>
      </c>
      <c r="C633" s="1" t="s">
        <v>89</v>
      </c>
      <c r="D633" s="2">
        <v>986.92769999999996</v>
      </c>
      <c r="E633" s="2">
        <v>-0.30330000000000001</v>
      </c>
      <c r="F633" s="2">
        <v>-803.85820000000001</v>
      </c>
    </row>
    <row r="634" spans="1:6" hidden="1" x14ac:dyDescent="0.3">
      <c r="A634" s="1" t="s">
        <v>100</v>
      </c>
      <c r="B634" s="1">
        <v>1026</v>
      </c>
      <c r="C634" s="1" t="s">
        <v>89</v>
      </c>
      <c r="D634" s="2">
        <v>1344.7268999999999</v>
      </c>
      <c r="E634" s="2">
        <v>-729.25850000000003</v>
      </c>
      <c r="F634" s="2">
        <v>-552.16800000000001</v>
      </c>
    </row>
    <row r="635" spans="1:6" hidden="1" x14ac:dyDescent="0.3">
      <c r="A635" s="1" t="s">
        <v>100</v>
      </c>
      <c r="B635" s="1">
        <v>1028</v>
      </c>
      <c r="C635" s="1" t="s">
        <v>89</v>
      </c>
      <c r="D635" s="2">
        <v>-154.4425</v>
      </c>
      <c r="E635" s="2">
        <v>-593.30849999999998</v>
      </c>
      <c r="F635" s="2">
        <v>-642.0575</v>
      </c>
    </row>
    <row r="636" spans="1:6" hidden="1" x14ac:dyDescent="0.3">
      <c r="A636" s="1" t="s">
        <v>100</v>
      </c>
      <c r="B636" s="1">
        <v>1030</v>
      </c>
      <c r="C636" s="1" t="s">
        <v>89</v>
      </c>
      <c r="D636" s="2">
        <v>1353.5539000000001</v>
      </c>
      <c r="E636" s="2">
        <v>-726.78030000000001</v>
      </c>
      <c r="F636" s="2">
        <v>-578.12009999999998</v>
      </c>
    </row>
    <row r="637" spans="1:6" hidden="1" x14ac:dyDescent="0.3">
      <c r="A637" s="1" t="s">
        <v>100</v>
      </c>
      <c r="B637" s="1">
        <v>1031</v>
      </c>
      <c r="C637" s="1" t="s">
        <v>89</v>
      </c>
      <c r="D637" s="2">
        <v>-41.002400000000002</v>
      </c>
      <c r="E637" s="2">
        <v>-339.74040000000002</v>
      </c>
      <c r="F637" s="2">
        <v>-614.73990000000003</v>
      </c>
    </row>
    <row r="638" spans="1:6" x14ac:dyDescent="0.3">
      <c r="A638" s="1" t="s">
        <v>100</v>
      </c>
      <c r="B638" s="1">
        <v>37</v>
      </c>
      <c r="C638" s="1" t="s">
        <v>79</v>
      </c>
      <c r="D638" s="2">
        <v>32.6967</v>
      </c>
      <c r="E638" s="2">
        <v>-99.002799999999993</v>
      </c>
      <c r="F638" s="2">
        <v>-389.74860000000001</v>
      </c>
    </row>
    <row r="639" spans="1:6" x14ac:dyDescent="0.3">
      <c r="A639" s="1" t="s">
        <v>100</v>
      </c>
      <c r="B639" s="1">
        <v>42</v>
      </c>
      <c r="C639" s="1" t="s">
        <v>90</v>
      </c>
      <c r="D639" s="2">
        <v>1082.6003000000001</v>
      </c>
      <c r="E639" s="2">
        <v>-99.316699999999997</v>
      </c>
      <c r="F639" s="2">
        <v>-355.89190000000002</v>
      </c>
    </row>
    <row r="640" spans="1:6" x14ac:dyDescent="0.3">
      <c r="A640" s="1" t="s">
        <v>100</v>
      </c>
      <c r="B640" s="1">
        <v>506</v>
      </c>
      <c r="C640" s="1" t="s">
        <v>82</v>
      </c>
      <c r="D640" s="2">
        <v>1147.9928</v>
      </c>
      <c r="E640" s="2">
        <v>-26.2927</v>
      </c>
      <c r="F640" s="2">
        <v>-460.10559999999998</v>
      </c>
    </row>
    <row r="641" spans="1:6" x14ac:dyDescent="0.3">
      <c r="A641" s="1" t="s">
        <v>100</v>
      </c>
      <c r="B641" s="1">
        <v>507</v>
      </c>
      <c r="C641" s="1" t="s">
        <v>83</v>
      </c>
      <c r="D641" s="2">
        <v>675.75469999999996</v>
      </c>
      <c r="E641" s="2">
        <v>-30.479600000000001</v>
      </c>
      <c r="F641" s="2">
        <v>-1093.1298999999999</v>
      </c>
    </row>
    <row r="642" spans="1:6" x14ac:dyDescent="0.3">
      <c r="A642" s="1" t="s">
        <v>100</v>
      </c>
      <c r="B642" s="1">
        <v>509</v>
      </c>
      <c r="C642" s="1" t="s">
        <v>97</v>
      </c>
      <c r="D642" s="2">
        <v>487.05770000000001</v>
      </c>
      <c r="E642" s="2">
        <v>-401.16090000000003</v>
      </c>
      <c r="F642" s="2">
        <v>440.91730000000001</v>
      </c>
    </row>
    <row r="643" spans="1:6" x14ac:dyDescent="0.3">
      <c r="A643" s="1" t="s">
        <v>100</v>
      </c>
      <c r="B643" s="1">
        <v>57</v>
      </c>
      <c r="C643" s="1" t="s">
        <v>91</v>
      </c>
      <c r="D643" s="2">
        <v>381.1062</v>
      </c>
      <c r="E643" s="2">
        <v>-99.686999999999998</v>
      </c>
      <c r="F643" s="2">
        <v>-131.25450000000001</v>
      </c>
    </row>
    <row r="644" spans="1:6" x14ac:dyDescent="0.3">
      <c r="A644" s="1" t="s">
        <v>100</v>
      </c>
      <c r="B644" s="1">
        <v>92</v>
      </c>
      <c r="C644" s="1" t="s">
        <v>92</v>
      </c>
      <c r="D644" s="2">
        <v>531.77800000000002</v>
      </c>
      <c r="E644" s="2">
        <v>-96.720699999999994</v>
      </c>
      <c r="F644" s="2">
        <v>-861.45090000000005</v>
      </c>
    </row>
    <row r="645" spans="1:6" x14ac:dyDescent="0.3">
      <c r="A645" s="1" t="s">
        <v>100</v>
      </c>
      <c r="B645" s="1">
        <v>96</v>
      </c>
      <c r="C645" s="1" t="s">
        <v>84</v>
      </c>
      <c r="D645" s="2">
        <v>424.51729999999998</v>
      </c>
      <c r="E645" s="2">
        <v>3.3925999999999998</v>
      </c>
      <c r="F645" s="2">
        <v>304.71089999999998</v>
      </c>
    </row>
    <row r="646" spans="1:6" x14ac:dyDescent="0.3">
      <c r="A646" s="1" t="s">
        <v>99</v>
      </c>
      <c r="B646" s="1">
        <v>1015</v>
      </c>
      <c r="C646" s="1" t="s">
        <v>75</v>
      </c>
      <c r="D646" s="2">
        <v>575.71609999999998</v>
      </c>
      <c r="E646" s="2">
        <v>-53.890099999999997</v>
      </c>
      <c r="F646" s="2">
        <v>347.23259999999999</v>
      </c>
    </row>
    <row r="647" spans="1:6" x14ac:dyDescent="0.3">
      <c r="A647" s="1" t="s">
        <v>99</v>
      </c>
      <c r="B647" s="1">
        <v>1008</v>
      </c>
      <c r="C647" s="1" t="s">
        <v>76</v>
      </c>
      <c r="D647" s="2">
        <v>1296.7366999999999</v>
      </c>
      <c r="E647" s="2">
        <v>-46.9373</v>
      </c>
      <c r="F647" s="2">
        <v>-489.51949999999999</v>
      </c>
    </row>
    <row r="648" spans="1:6" x14ac:dyDescent="0.3">
      <c r="A648" s="1" t="s">
        <v>99</v>
      </c>
      <c r="B648" s="1">
        <v>1019</v>
      </c>
      <c r="C648" s="1" t="s">
        <v>77</v>
      </c>
      <c r="D648" s="2">
        <v>604.59939999999995</v>
      </c>
      <c r="E648" s="2">
        <v>-44.335999999999999</v>
      </c>
      <c r="F648" s="2">
        <v>-1115.0851</v>
      </c>
    </row>
    <row r="649" spans="1:6" x14ac:dyDescent="0.3">
      <c r="A649" s="1" t="s">
        <v>99</v>
      </c>
      <c r="B649" s="1">
        <v>1001</v>
      </c>
      <c r="C649" s="1" t="s">
        <v>78</v>
      </c>
      <c r="D649" s="2">
        <v>-115.5879</v>
      </c>
      <c r="E649" s="2">
        <v>-51.051200000000001</v>
      </c>
      <c r="F649" s="2">
        <v>-283.19080000000002</v>
      </c>
    </row>
    <row r="650" spans="1:6" x14ac:dyDescent="0.3">
      <c r="A650" s="1" t="s">
        <v>99</v>
      </c>
      <c r="B650" s="1">
        <v>501</v>
      </c>
      <c r="C650" s="1" t="s">
        <v>94</v>
      </c>
      <c r="D650" s="2">
        <v>1.0800000000000001E-2</v>
      </c>
      <c r="E650" s="2">
        <v>-5.74E-2</v>
      </c>
      <c r="F650" s="2">
        <v>-0.2404</v>
      </c>
    </row>
    <row r="651" spans="1:6" x14ac:dyDescent="0.3">
      <c r="A651" s="1" t="s">
        <v>99</v>
      </c>
      <c r="B651" s="1">
        <v>502</v>
      </c>
      <c r="C651" s="1" t="s">
        <v>85</v>
      </c>
      <c r="D651" s="2">
        <v>172.14109999999999</v>
      </c>
      <c r="E651" s="2">
        <v>0.36609999999999998</v>
      </c>
      <c r="F651" s="2">
        <v>-175.51310000000001</v>
      </c>
    </row>
    <row r="652" spans="1:6" x14ac:dyDescent="0.3">
      <c r="A652" s="1" t="s">
        <v>99</v>
      </c>
      <c r="B652" s="1">
        <v>503</v>
      </c>
      <c r="C652" s="1" t="s">
        <v>95</v>
      </c>
      <c r="D652" s="2">
        <v>170.71279999999999</v>
      </c>
      <c r="E652" s="2">
        <v>-0.62919999999999998</v>
      </c>
      <c r="F652" s="2">
        <v>-1.2098</v>
      </c>
    </row>
    <row r="653" spans="1:6" x14ac:dyDescent="0.3">
      <c r="A653" s="1" t="s">
        <v>99</v>
      </c>
      <c r="B653" s="1">
        <v>504</v>
      </c>
      <c r="C653" s="1" t="s">
        <v>87</v>
      </c>
      <c r="D653" s="2">
        <v>346.47809999999998</v>
      </c>
      <c r="E653" s="2">
        <v>-5.3400000000000003E-2</v>
      </c>
      <c r="F653" s="2">
        <v>-0.2102</v>
      </c>
    </row>
    <row r="654" spans="1:6" x14ac:dyDescent="0.3">
      <c r="A654" s="1" t="s">
        <v>99</v>
      </c>
      <c r="B654" s="1">
        <v>505</v>
      </c>
      <c r="C654" s="1" t="s">
        <v>96</v>
      </c>
      <c r="D654" s="2">
        <v>169.8929</v>
      </c>
      <c r="E654" s="2">
        <v>-0.40189999999999998</v>
      </c>
      <c r="F654" s="2">
        <v>174.91499999999999</v>
      </c>
    </row>
    <row r="655" spans="1:6" x14ac:dyDescent="0.3">
      <c r="A655" s="1" t="s">
        <v>99</v>
      </c>
      <c r="B655" s="1">
        <v>116</v>
      </c>
      <c r="C655" s="1" t="s">
        <v>81</v>
      </c>
      <c r="D655" s="2">
        <v>1011.4654</v>
      </c>
      <c r="E655" s="2">
        <v>-624.52539999999999</v>
      </c>
      <c r="F655" s="2">
        <v>-1136.4747</v>
      </c>
    </row>
    <row r="656" spans="1:6" x14ac:dyDescent="0.3">
      <c r="A656" s="1" t="s">
        <v>99</v>
      </c>
      <c r="B656" s="1">
        <v>121</v>
      </c>
      <c r="C656" s="1" t="s">
        <v>93</v>
      </c>
      <c r="D656" s="2">
        <v>635.35839999999996</v>
      </c>
      <c r="E656" s="2">
        <v>-100.22190000000001</v>
      </c>
      <c r="F656" s="2">
        <v>95.867199999999997</v>
      </c>
    </row>
    <row r="657" spans="1:6" x14ac:dyDescent="0.3">
      <c r="A657" s="1" t="s">
        <v>99</v>
      </c>
      <c r="B657" s="1">
        <v>13</v>
      </c>
      <c r="C657" s="1" t="s">
        <v>80</v>
      </c>
      <c r="D657" s="2">
        <v>279.84530000000001</v>
      </c>
      <c r="E657" s="2">
        <v>2.7976000000000001</v>
      </c>
      <c r="F657" s="2">
        <v>200.6309</v>
      </c>
    </row>
    <row r="658" spans="1:6" x14ac:dyDescent="0.3">
      <c r="A658" s="1" t="s">
        <v>99</v>
      </c>
      <c r="B658" s="1">
        <v>34</v>
      </c>
      <c r="C658" s="1" t="s">
        <v>74</v>
      </c>
      <c r="D658" s="2">
        <v>757.67809999999997</v>
      </c>
      <c r="E658" s="2">
        <v>-94.641800000000003</v>
      </c>
      <c r="F658" s="2">
        <v>-666.02750000000003</v>
      </c>
    </row>
    <row r="659" spans="1:6" x14ac:dyDescent="0.3">
      <c r="A659" s="1" t="s">
        <v>99</v>
      </c>
      <c r="B659" s="1">
        <v>37</v>
      </c>
      <c r="C659" s="1" t="s">
        <v>79</v>
      </c>
      <c r="D659" s="2">
        <v>33.268999999999998</v>
      </c>
      <c r="E659" s="2">
        <v>-98.502399999999994</v>
      </c>
      <c r="F659" s="2">
        <v>-391.03160000000003</v>
      </c>
    </row>
    <row r="660" spans="1:6" x14ac:dyDescent="0.3">
      <c r="A660" s="1" t="s">
        <v>99</v>
      </c>
      <c r="B660" s="1">
        <v>4</v>
      </c>
      <c r="C660" s="1" t="s">
        <v>88</v>
      </c>
      <c r="D660" s="2">
        <v>1045.2923000000001</v>
      </c>
      <c r="E660" s="2">
        <v>-512.28610000000003</v>
      </c>
      <c r="F660" s="2">
        <v>-1106.1756</v>
      </c>
    </row>
    <row r="661" spans="1:6" x14ac:dyDescent="0.3">
      <c r="A661" s="1" t="s">
        <v>99</v>
      </c>
      <c r="B661" s="1">
        <v>42</v>
      </c>
      <c r="C661" s="1" t="s">
        <v>90</v>
      </c>
      <c r="D661" s="2">
        <v>1083.1405999999999</v>
      </c>
      <c r="E661" s="2">
        <v>-97.120099999999994</v>
      </c>
      <c r="F661" s="2">
        <v>-356.82240000000002</v>
      </c>
    </row>
    <row r="662" spans="1:6" x14ac:dyDescent="0.3">
      <c r="A662" s="1" t="s">
        <v>99</v>
      </c>
      <c r="B662" s="1">
        <v>506</v>
      </c>
      <c r="C662" s="1" t="s">
        <v>82</v>
      </c>
      <c r="D662" s="2">
        <v>1148.4187999999999</v>
      </c>
      <c r="E662" s="2">
        <v>-23.689800000000002</v>
      </c>
      <c r="F662" s="2">
        <v>-460.8254</v>
      </c>
    </row>
    <row r="663" spans="1:6" x14ac:dyDescent="0.3">
      <c r="A663" s="1" t="s">
        <v>99</v>
      </c>
      <c r="B663" s="1">
        <v>507</v>
      </c>
      <c r="C663" s="1" t="s">
        <v>83</v>
      </c>
      <c r="D663" s="2">
        <v>676.3451</v>
      </c>
      <c r="E663" s="2">
        <v>-27.020199999999999</v>
      </c>
      <c r="F663" s="2">
        <v>-1093.9774</v>
      </c>
    </row>
    <row r="664" spans="1:6" x14ac:dyDescent="0.3">
      <c r="A664" s="1" t="s">
        <v>99</v>
      </c>
      <c r="B664" s="1">
        <v>509</v>
      </c>
      <c r="C664" s="1" t="s">
        <v>97</v>
      </c>
      <c r="D664" s="2">
        <v>487.93810000000002</v>
      </c>
      <c r="E664" s="2">
        <v>-402.26679999999999</v>
      </c>
      <c r="F664" s="2">
        <v>438.96660000000003</v>
      </c>
    </row>
    <row r="665" spans="1:6" x14ac:dyDescent="0.3">
      <c r="A665" s="1" t="s">
        <v>99</v>
      </c>
      <c r="B665" s="1">
        <v>57</v>
      </c>
      <c r="C665" s="1" t="s">
        <v>91</v>
      </c>
      <c r="D665" s="2">
        <v>381.59300000000002</v>
      </c>
      <c r="E665" s="2">
        <v>-99.370099999999994</v>
      </c>
      <c r="F665" s="2">
        <v>-132.3844</v>
      </c>
    </row>
    <row r="666" spans="1:6" x14ac:dyDescent="0.3">
      <c r="A666" s="1" t="s">
        <v>99</v>
      </c>
      <c r="B666" s="1">
        <v>87</v>
      </c>
      <c r="C666" s="1" t="s">
        <v>86</v>
      </c>
      <c r="D666" s="2">
        <v>1198.0494000000001</v>
      </c>
      <c r="E666" s="2">
        <v>-631.09619999999995</v>
      </c>
      <c r="F666" s="2">
        <v>-976.42179999999996</v>
      </c>
    </row>
    <row r="667" spans="1:6" x14ac:dyDescent="0.3">
      <c r="A667" s="1" t="s">
        <v>99</v>
      </c>
      <c r="B667" s="1">
        <v>92</v>
      </c>
      <c r="C667" s="1" t="s">
        <v>92</v>
      </c>
      <c r="D667" s="2">
        <v>532.42719999999997</v>
      </c>
      <c r="E667" s="2">
        <v>-93.989099999999993</v>
      </c>
      <c r="F667" s="2">
        <v>-862.53150000000005</v>
      </c>
    </row>
    <row r="668" spans="1:6" hidden="1" x14ac:dyDescent="0.3">
      <c r="A668" s="1" t="s">
        <v>99</v>
      </c>
      <c r="B668" s="1">
        <v>1002</v>
      </c>
      <c r="C668" s="1" t="s">
        <v>89</v>
      </c>
      <c r="D668" s="2">
        <v>589.62139999999999</v>
      </c>
      <c r="E668" s="2">
        <v>-333.40870000000001</v>
      </c>
      <c r="F668" s="2">
        <v>-1000.1883</v>
      </c>
    </row>
    <row r="669" spans="1:6" hidden="1" x14ac:dyDescent="0.3">
      <c r="A669" s="1" t="s">
        <v>99</v>
      </c>
      <c r="B669" s="1">
        <v>1003</v>
      </c>
      <c r="C669" s="1" t="s">
        <v>89</v>
      </c>
      <c r="D669" s="2">
        <v>248.6327</v>
      </c>
      <c r="E669" s="2">
        <v>-269.5779</v>
      </c>
      <c r="F669" s="2">
        <v>-357.41989999999998</v>
      </c>
    </row>
    <row r="670" spans="1:6" hidden="1" x14ac:dyDescent="0.3">
      <c r="A670" s="1" t="s">
        <v>99</v>
      </c>
      <c r="B670" s="1">
        <v>1006</v>
      </c>
      <c r="C670" s="1" t="s">
        <v>89</v>
      </c>
      <c r="D670" s="2">
        <v>1126.3090999999999</v>
      </c>
      <c r="E670" s="2">
        <v>-23.887899999999998</v>
      </c>
      <c r="F670" s="2">
        <v>-490.4753</v>
      </c>
    </row>
    <row r="671" spans="1:6" hidden="1" x14ac:dyDescent="0.3">
      <c r="A671" s="1" t="s">
        <v>99</v>
      </c>
      <c r="B671" s="1">
        <v>1007</v>
      </c>
      <c r="C671" s="1" t="s">
        <v>89</v>
      </c>
      <c r="D671" s="2">
        <v>698.49980000000005</v>
      </c>
      <c r="E671" s="2">
        <v>-26.834800000000001</v>
      </c>
      <c r="F671" s="2">
        <v>-1064.3983000000001</v>
      </c>
    </row>
    <row r="672" spans="1:6" hidden="1" x14ac:dyDescent="0.3">
      <c r="A672" s="1" t="s">
        <v>99</v>
      </c>
      <c r="B672" s="1">
        <v>1009</v>
      </c>
      <c r="C672" s="1" t="s">
        <v>89</v>
      </c>
      <c r="D672" s="2">
        <v>511.40379999999999</v>
      </c>
      <c r="E672" s="2">
        <v>-411.10270000000003</v>
      </c>
      <c r="F672" s="2">
        <v>411.85910000000001</v>
      </c>
    </row>
    <row r="673" spans="1:6" hidden="1" x14ac:dyDescent="0.3">
      <c r="A673" s="1" t="s">
        <v>99</v>
      </c>
      <c r="B673" s="1">
        <v>1010</v>
      </c>
      <c r="C673" s="1" t="s">
        <v>89</v>
      </c>
      <c r="D673" s="2">
        <v>258.06540000000001</v>
      </c>
      <c r="E673" s="2">
        <v>2.7734000000000001</v>
      </c>
      <c r="F673" s="2">
        <v>188.95609999999999</v>
      </c>
    </row>
    <row r="674" spans="1:6" hidden="1" x14ac:dyDescent="0.3">
      <c r="A674" s="1" t="s">
        <v>99</v>
      </c>
      <c r="B674" s="1">
        <v>1011</v>
      </c>
      <c r="C674" s="1" t="s">
        <v>89</v>
      </c>
      <c r="D674" s="2">
        <v>496.20119999999997</v>
      </c>
      <c r="E674" s="2">
        <v>-267.42320000000001</v>
      </c>
      <c r="F674" s="2">
        <v>-644.66999999999996</v>
      </c>
    </row>
    <row r="675" spans="1:6" hidden="1" x14ac:dyDescent="0.3">
      <c r="A675" s="1" t="s">
        <v>99</v>
      </c>
      <c r="B675" s="1">
        <v>1016</v>
      </c>
      <c r="C675" s="1" t="s">
        <v>89</v>
      </c>
      <c r="D675" s="2">
        <v>357.16879999999998</v>
      </c>
      <c r="E675" s="2">
        <v>-99.603899999999996</v>
      </c>
      <c r="F675" s="2">
        <v>-129.2578</v>
      </c>
    </row>
    <row r="676" spans="1:6" hidden="1" x14ac:dyDescent="0.3">
      <c r="A676" s="1" t="s">
        <v>99</v>
      </c>
      <c r="B676" s="1">
        <v>1017</v>
      </c>
      <c r="C676" s="1" t="s">
        <v>89</v>
      </c>
      <c r="D676" s="2">
        <v>1346.4159</v>
      </c>
      <c r="E676" s="2">
        <v>-726.07950000000005</v>
      </c>
      <c r="F676" s="2">
        <v>-554.76390000000004</v>
      </c>
    </row>
    <row r="677" spans="1:6" hidden="1" x14ac:dyDescent="0.3">
      <c r="A677" s="1" t="s">
        <v>99</v>
      </c>
      <c r="B677" s="1">
        <v>1020</v>
      </c>
      <c r="C677" s="1" t="s">
        <v>89</v>
      </c>
      <c r="D677" s="2">
        <v>338.96640000000002</v>
      </c>
      <c r="E677" s="2">
        <v>-5.6978999999999997</v>
      </c>
      <c r="F677" s="2">
        <v>103.9739</v>
      </c>
    </row>
    <row r="678" spans="1:6" hidden="1" x14ac:dyDescent="0.3">
      <c r="A678" s="1" t="s">
        <v>99</v>
      </c>
      <c r="B678" s="1">
        <v>1022</v>
      </c>
      <c r="C678" s="1" t="s">
        <v>89</v>
      </c>
      <c r="D678" s="2">
        <v>-152.94059999999999</v>
      </c>
      <c r="E678" s="2">
        <v>-592.45000000000005</v>
      </c>
      <c r="F678" s="2">
        <v>-644.72720000000004</v>
      </c>
    </row>
    <row r="679" spans="1:6" hidden="1" x14ac:dyDescent="0.3">
      <c r="A679" s="1" t="s">
        <v>99</v>
      </c>
      <c r="B679" s="1">
        <v>1023</v>
      </c>
      <c r="C679" s="1" t="s">
        <v>89</v>
      </c>
      <c r="D679" s="2">
        <v>263.49239999999998</v>
      </c>
      <c r="E679" s="2">
        <v>-5.4226999999999999</v>
      </c>
      <c r="F679" s="2">
        <v>38.53</v>
      </c>
    </row>
    <row r="680" spans="1:6" hidden="1" x14ac:dyDescent="0.3">
      <c r="A680" s="1" t="s">
        <v>99</v>
      </c>
      <c r="B680" s="1">
        <v>1026</v>
      </c>
      <c r="C680" s="1" t="s">
        <v>89</v>
      </c>
      <c r="D680" s="2">
        <v>219.8485</v>
      </c>
      <c r="E680" s="2">
        <v>-602.77790000000005</v>
      </c>
      <c r="F680" s="2">
        <v>-1075.6427000000001</v>
      </c>
    </row>
    <row r="681" spans="1:6" hidden="1" x14ac:dyDescent="0.3">
      <c r="A681" s="1" t="s">
        <v>99</v>
      </c>
      <c r="B681" s="1">
        <v>1038</v>
      </c>
      <c r="C681" s="1" t="s">
        <v>89</v>
      </c>
      <c r="D681" s="2">
        <v>-1202.1795999999999</v>
      </c>
      <c r="E681" s="2">
        <v>1229.2855999999999</v>
      </c>
      <c r="F681" s="2">
        <v>44.346600000000002</v>
      </c>
    </row>
    <row r="682" spans="1:6" hidden="1" x14ac:dyDescent="0.3">
      <c r="A682" s="1" t="s">
        <v>99</v>
      </c>
      <c r="B682" s="1">
        <v>1039</v>
      </c>
      <c r="C682" s="1" t="s">
        <v>89</v>
      </c>
      <c r="D682" s="2">
        <v>-1208.0497</v>
      </c>
      <c r="E682" s="2">
        <v>1239.9344000000001</v>
      </c>
      <c r="F682" s="2">
        <v>24.488299999999999</v>
      </c>
    </row>
    <row r="683" spans="1:6" hidden="1" x14ac:dyDescent="0.3">
      <c r="A683" s="1" t="s">
        <v>99</v>
      </c>
      <c r="B683" s="1">
        <v>1040</v>
      </c>
      <c r="C683" s="1" t="s">
        <v>89</v>
      </c>
      <c r="D683" s="2">
        <v>-1208.1913999999999</v>
      </c>
      <c r="E683" s="2">
        <v>1223.1691000000001</v>
      </c>
      <c r="F683" s="2">
        <v>35.416400000000003</v>
      </c>
    </row>
    <row r="684" spans="1:6" hidden="1" x14ac:dyDescent="0.3">
      <c r="A684" s="1" t="s">
        <v>99</v>
      </c>
      <c r="B684" s="1">
        <v>1041</v>
      </c>
      <c r="C684" s="1" t="s">
        <v>89</v>
      </c>
      <c r="D684" s="2">
        <v>-1189.7049999999999</v>
      </c>
      <c r="E684" s="2">
        <v>1267.7442000000001</v>
      </c>
      <c r="F684" s="2">
        <v>27.960599999999999</v>
      </c>
    </row>
    <row r="685" spans="1:6" hidden="1" x14ac:dyDescent="0.3">
      <c r="A685" s="1" t="s">
        <v>99</v>
      </c>
      <c r="B685" s="1">
        <v>1043</v>
      </c>
      <c r="C685" s="1" t="s">
        <v>89</v>
      </c>
      <c r="D685" s="2">
        <v>-1217.4911</v>
      </c>
      <c r="E685" s="2">
        <v>1200.4888000000001</v>
      </c>
      <c r="F685" s="2">
        <v>39.445300000000003</v>
      </c>
    </row>
    <row r="686" spans="1:6" hidden="1" x14ac:dyDescent="0.3">
      <c r="A686" s="1" t="s">
        <v>99</v>
      </c>
      <c r="B686" s="1">
        <v>1045</v>
      </c>
      <c r="C686" s="1" t="s">
        <v>89</v>
      </c>
      <c r="D686" s="2">
        <v>-1204.7429</v>
      </c>
      <c r="E686" s="2">
        <v>1216.6062999999999</v>
      </c>
      <c r="F686" s="2">
        <v>59.6783</v>
      </c>
    </row>
    <row r="687" spans="1:6" hidden="1" x14ac:dyDescent="0.3">
      <c r="A687" s="1" t="s">
        <v>99</v>
      </c>
      <c r="B687" s="1">
        <v>1048</v>
      </c>
      <c r="C687" s="1" t="s">
        <v>89</v>
      </c>
      <c r="D687" s="2">
        <v>6.4790000000000001</v>
      </c>
      <c r="E687" s="2">
        <v>-1034.6987999999999</v>
      </c>
      <c r="F687" s="2">
        <v>-516.28049999999996</v>
      </c>
    </row>
    <row r="688" spans="1:6" hidden="1" x14ac:dyDescent="0.3">
      <c r="A688" s="1" t="s">
        <v>99</v>
      </c>
      <c r="B688" s="1">
        <v>1050</v>
      </c>
      <c r="C688" s="1" t="s">
        <v>89</v>
      </c>
      <c r="D688" s="2">
        <v>1048.1923999999999</v>
      </c>
      <c r="E688" s="2">
        <v>-29.430700000000002</v>
      </c>
      <c r="F688" s="2">
        <v>-836.92489999999998</v>
      </c>
    </row>
    <row r="689" spans="1:6" hidden="1" x14ac:dyDescent="0.3">
      <c r="A689" s="1" t="s">
        <v>99</v>
      </c>
      <c r="B689" s="1">
        <v>1052</v>
      </c>
      <c r="C689" s="1" t="s">
        <v>89</v>
      </c>
      <c r="D689" s="2">
        <v>-1192.2194999999999</v>
      </c>
      <c r="E689" s="2">
        <v>1252.9247</v>
      </c>
      <c r="F689" s="2">
        <v>42.566000000000003</v>
      </c>
    </row>
    <row r="690" spans="1:6" hidden="1" x14ac:dyDescent="0.3">
      <c r="A690" s="1" t="s">
        <v>99</v>
      </c>
      <c r="B690" s="1">
        <v>1053</v>
      </c>
      <c r="C690" s="1" t="s">
        <v>89</v>
      </c>
      <c r="D690" s="2">
        <v>-1198.6292000000001</v>
      </c>
      <c r="E690" s="2">
        <v>1245.6775</v>
      </c>
      <c r="F690" s="2">
        <v>32.187399999999997</v>
      </c>
    </row>
    <row r="691" spans="1:6" hidden="1" x14ac:dyDescent="0.3">
      <c r="A691" s="1" t="s">
        <v>99</v>
      </c>
      <c r="B691" s="1">
        <v>1055</v>
      </c>
      <c r="C691" s="1" t="s">
        <v>89</v>
      </c>
      <c r="D691" s="2">
        <v>-1188.8213000000001</v>
      </c>
      <c r="E691" s="2">
        <v>1284.3303000000001</v>
      </c>
      <c r="F691" s="2">
        <v>17.4693</v>
      </c>
    </row>
    <row r="692" spans="1:6" hidden="1" x14ac:dyDescent="0.3">
      <c r="A692" s="1" t="s">
        <v>99</v>
      </c>
      <c r="B692" s="1">
        <v>1056</v>
      </c>
      <c r="C692" s="1" t="s">
        <v>89</v>
      </c>
      <c r="D692" s="2">
        <v>868.6472</v>
      </c>
      <c r="E692" s="2">
        <v>0.88329999999999997</v>
      </c>
      <c r="F692" s="2">
        <v>-907.48760000000004</v>
      </c>
    </row>
    <row r="693" spans="1:6" hidden="1" x14ac:dyDescent="0.3">
      <c r="A693" s="1" t="s">
        <v>99</v>
      </c>
      <c r="B693" s="1">
        <v>1058</v>
      </c>
      <c r="C693" s="1" t="s">
        <v>89</v>
      </c>
      <c r="D693" s="2">
        <v>227.89420000000001</v>
      </c>
      <c r="E693" s="2">
        <v>-588.428</v>
      </c>
      <c r="F693" s="2">
        <v>-1077.3780999999999</v>
      </c>
    </row>
    <row r="694" spans="1:6" x14ac:dyDescent="0.3">
      <c r="A694" s="1" t="s">
        <v>99</v>
      </c>
      <c r="B694" s="1">
        <v>96</v>
      </c>
      <c r="C694" s="1" t="s">
        <v>84</v>
      </c>
      <c r="D694" s="2">
        <v>424.7013</v>
      </c>
      <c r="E694" s="2">
        <v>2.5985</v>
      </c>
      <c r="F694" s="2">
        <v>303.87709999999998</v>
      </c>
    </row>
    <row r="695" spans="1:6" x14ac:dyDescent="0.3">
      <c r="A695" s="1" t="s">
        <v>101</v>
      </c>
      <c r="B695" s="1">
        <v>1013</v>
      </c>
      <c r="C695" s="1" t="s">
        <v>75</v>
      </c>
      <c r="D695" s="2">
        <v>575.44849999999997</v>
      </c>
      <c r="E695" s="2">
        <v>-53.409300000000002</v>
      </c>
      <c r="F695" s="2">
        <v>347.38310000000001</v>
      </c>
    </row>
    <row r="696" spans="1:6" x14ac:dyDescent="0.3">
      <c r="A696" s="1" t="s">
        <v>101</v>
      </c>
      <c r="B696" s="1">
        <v>1014</v>
      </c>
      <c r="C696" s="1" t="s">
        <v>76</v>
      </c>
      <c r="D696" s="2">
        <v>1296.7180000000001</v>
      </c>
      <c r="E696" s="2">
        <v>-47.238</v>
      </c>
      <c r="F696" s="2">
        <v>-489.10419999999999</v>
      </c>
    </row>
    <row r="697" spans="1:6" x14ac:dyDescent="0.3">
      <c r="A697" s="1" t="s">
        <v>101</v>
      </c>
      <c r="B697" s="1">
        <v>1020</v>
      </c>
      <c r="C697" s="1" t="s">
        <v>77</v>
      </c>
      <c r="D697" s="2">
        <v>604.82280000000003</v>
      </c>
      <c r="E697" s="2">
        <v>-44.2699</v>
      </c>
      <c r="F697" s="2">
        <v>-1114.9051999999999</v>
      </c>
    </row>
    <row r="698" spans="1:6" x14ac:dyDescent="0.3">
      <c r="A698" s="1" t="s">
        <v>101</v>
      </c>
      <c r="B698" s="1">
        <v>1001</v>
      </c>
      <c r="C698" s="1" t="s">
        <v>78</v>
      </c>
      <c r="D698" s="2">
        <v>-115.65600000000001</v>
      </c>
      <c r="E698" s="2">
        <v>-50.258600000000001</v>
      </c>
      <c r="F698" s="2">
        <v>-283.23450000000003</v>
      </c>
    </row>
    <row r="699" spans="1:6" x14ac:dyDescent="0.3">
      <c r="A699" s="1" t="s">
        <v>101</v>
      </c>
      <c r="B699" s="1">
        <v>501</v>
      </c>
      <c r="C699" s="1" t="s">
        <v>94</v>
      </c>
      <c r="D699" s="2">
        <v>-9.5100000000000004E-2</v>
      </c>
      <c r="E699" s="2">
        <v>0.68340000000000001</v>
      </c>
      <c r="F699" s="2">
        <v>-0.2792</v>
      </c>
    </row>
    <row r="700" spans="1:6" x14ac:dyDescent="0.3">
      <c r="A700" s="1" t="s">
        <v>101</v>
      </c>
      <c r="B700" s="1">
        <v>502</v>
      </c>
      <c r="C700" s="1" t="s">
        <v>85</v>
      </c>
      <c r="D700" s="2">
        <v>172.0881</v>
      </c>
      <c r="E700" s="2">
        <v>0.91190000000000004</v>
      </c>
      <c r="F700" s="2">
        <v>-175.49520000000001</v>
      </c>
    </row>
    <row r="701" spans="1:6" x14ac:dyDescent="0.3">
      <c r="A701" s="1" t="s">
        <v>101</v>
      </c>
      <c r="B701" s="1">
        <v>503</v>
      </c>
      <c r="C701" s="1" t="s">
        <v>95</v>
      </c>
      <c r="D701" s="2">
        <v>170.5977</v>
      </c>
      <c r="E701" s="2">
        <v>0.03</v>
      </c>
      <c r="F701" s="2">
        <v>-1.1754</v>
      </c>
    </row>
    <row r="702" spans="1:6" x14ac:dyDescent="0.3">
      <c r="A702" s="1" t="s">
        <v>101</v>
      </c>
      <c r="B702" s="1">
        <v>504</v>
      </c>
      <c r="C702" s="1" t="s">
        <v>87</v>
      </c>
      <c r="D702" s="2">
        <v>346.3646</v>
      </c>
      <c r="E702" s="2">
        <v>0.48220000000000002</v>
      </c>
      <c r="F702" s="2">
        <v>-0.14050000000000001</v>
      </c>
    </row>
    <row r="703" spans="1:6" x14ac:dyDescent="0.3">
      <c r="A703" s="1" t="s">
        <v>101</v>
      </c>
      <c r="B703" s="1">
        <v>505</v>
      </c>
      <c r="C703" s="1" t="s">
        <v>96</v>
      </c>
      <c r="D703" s="2">
        <v>169.7251</v>
      </c>
      <c r="E703" s="2">
        <v>0.29599999999999999</v>
      </c>
      <c r="F703" s="2">
        <v>174.93029999999999</v>
      </c>
    </row>
    <row r="704" spans="1:6" x14ac:dyDescent="0.3">
      <c r="A704" s="1" t="s">
        <v>101</v>
      </c>
      <c r="B704" s="1">
        <v>116</v>
      </c>
      <c r="C704" s="1" t="s">
        <v>81</v>
      </c>
      <c r="D704" s="2">
        <v>1011.3914</v>
      </c>
      <c r="E704" s="2">
        <v>-624.91539999999998</v>
      </c>
      <c r="F704" s="2">
        <v>-1135.9066</v>
      </c>
    </row>
    <row r="705" spans="1:6" x14ac:dyDescent="0.3">
      <c r="A705" s="1" t="s">
        <v>101</v>
      </c>
      <c r="B705" s="1">
        <v>121</v>
      </c>
      <c r="C705" s="1" t="s">
        <v>93</v>
      </c>
      <c r="D705" s="2">
        <v>635.14440000000002</v>
      </c>
      <c r="E705" s="2">
        <v>-99.875100000000003</v>
      </c>
      <c r="F705" s="2">
        <v>96.061599999999999</v>
      </c>
    </row>
    <row r="706" spans="1:6" x14ac:dyDescent="0.3">
      <c r="A706" s="1" t="s">
        <v>101</v>
      </c>
      <c r="B706" s="1">
        <v>13</v>
      </c>
      <c r="C706" s="1" t="s">
        <v>80</v>
      </c>
      <c r="D706" s="2">
        <v>279.66410000000002</v>
      </c>
      <c r="E706" s="2">
        <v>3.4499</v>
      </c>
      <c r="F706" s="2">
        <v>200.68600000000001</v>
      </c>
    </row>
    <row r="707" spans="1:6" x14ac:dyDescent="0.3">
      <c r="A707" s="1" t="s">
        <v>101</v>
      </c>
      <c r="B707" s="1">
        <v>34</v>
      </c>
      <c r="C707" s="1" t="s">
        <v>74</v>
      </c>
      <c r="D707" s="2">
        <v>757.71770000000004</v>
      </c>
      <c r="E707" s="2">
        <v>-94.634200000000007</v>
      </c>
      <c r="F707" s="2">
        <v>-665.76480000000004</v>
      </c>
    </row>
    <row r="708" spans="1:6" x14ac:dyDescent="0.3">
      <c r="A708" s="1" t="s">
        <v>101</v>
      </c>
      <c r="B708" s="1">
        <v>37</v>
      </c>
      <c r="C708" s="1" t="s">
        <v>79</v>
      </c>
      <c r="D708" s="2">
        <v>33.2346</v>
      </c>
      <c r="E708" s="2">
        <v>-97.924099999999996</v>
      </c>
      <c r="F708" s="2">
        <v>-391.0145</v>
      </c>
    </row>
    <row r="709" spans="1:6" x14ac:dyDescent="0.3">
      <c r="A709" s="1" t="s">
        <v>101</v>
      </c>
      <c r="B709" s="1">
        <v>4</v>
      </c>
      <c r="C709" s="1" t="s">
        <v>88</v>
      </c>
      <c r="D709" s="2">
        <v>1045.2653</v>
      </c>
      <c r="E709" s="2">
        <v>-512.69929999999999</v>
      </c>
      <c r="F709" s="2">
        <v>-1105.6585</v>
      </c>
    </row>
    <row r="710" spans="1:6" x14ac:dyDescent="0.3">
      <c r="A710" s="1" t="s">
        <v>101</v>
      </c>
      <c r="B710" s="1">
        <v>42</v>
      </c>
      <c r="C710" s="1" t="s">
        <v>90</v>
      </c>
      <c r="D710" s="2">
        <v>1083.0722000000001</v>
      </c>
      <c r="E710" s="2">
        <v>-97.218000000000004</v>
      </c>
      <c r="F710" s="2">
        <v>-356.45589999999999</v>
      </c>
    </row>
    <row r="711" spans="1:6" x14ac:dyDescent="0.3">
      <c r="A711" s="1" t="s">
        <v>101</v>
      </c>
      <c r="B711" s="1">
        <v>506</v>
      </c>
      <c r="C711" s="1" t="s">
        <v>82</v>
      </c>
      <c r="D711" s="2">
        <v>1148.4266</v>
      </c>
      <c r="E711" s="2">
        <v>-23.8673</v>
      </c>
      <c r="F711" s="2">
        <v>-460.46870000000001</v>
      </c>
    </row>
    <row r="712" spans="1:6" x14ac:dyDescent="0.3">
      <c r="A712" s="1" t="s">
        <v>101</v>
      </c>
      <c r="B712" s="1">
        <v>507</v>
      </c>
      <c r="C712" s="1" t="s">
        <v>83</v>
      </c>
      <c r="D712" s="2">
        <v>676.56489999999997</v>
      </c>
      <c r="E712" s="2">
        <v>-26.996500000000001</v>
      </c>
      <c r="F712" s="2">
        <v>-1093.7797</v>
      </c>
    </row>
    <row r="713" spans="1:6" x14ac:dyDescent="0.3">
      <c r="A713" s="1" t="s">
        <v>101</v>
      </c>
      <c r="B713" s="1">
        <v>509</v>
      </c>
      <c r="C713" s="1" t="s">
        <v>97</v>
      </c>
      <c r="D713" s="2">
        <v>487.45119999999997</v>
      </c>
      <c r="E713" s="2">
        <v>-401.67630000000003</v>
      </c>
      <c r="F713" s="2">
        <v>439.24799999999999</v>
      </c>
    </row>
    <row r="714" spans="1:6" x14ac:dyDescent="0.3">
      <c r="A714" s="1" t="s">
        <v>101</v>
      </c>
      <c r="B714" s="1">
        <v>57</v>
      </c>
      <c r="C714" s="1" t="s">
        <v>91</v>
      </c>
      <c r="D714" s="2">
        <v>381.47239999999999</v>
      </c>
      <c r="E714" s="2">
        <v>-98.929500000000004</v>
      </c>
      <c r="F714" s="2">
        <v>-132.25659999999999</v>
      </c>
    </row>
    <row r="715" spans="1:6" x14ac:dyDescent="0.3">
      <c r="A715" s="1" t="s">
        <v>101</v>
      </c>
      <c r="B715" s="1">
        <v>87</v>
      </c>
      <c r="C715" s="1" t="s">
        <v>86</v>
      </c>
      <c r="D715" s="2">
        <v>1197.8887</v>
      </c>
      <c r="E715" s="2">
        <v>-631.55539999999996</v>
      </c>
      <c r="F715" s="2">
        <v>-975.75030000000004</v>
      </c>
    </row>
    <row r="716" spans="1:6" x14ac:dyDescent="0.3">
      <c r="A716" s="1" t="s">
        <v>101</v>
      </c>
      <c r="B716" s="1">
        <v>92</v>
      </c>
      <c r="C716" s="1" t="s">
        <v>92</v>
      </c>
      <c r="D716" s="2">
        <v>532.54459999999995</v>
      </c>
      <c r="E716" s="2">
        <v>-93.960400000000007</v>
      </c>
      <c r="F716" s="2">
        <v>-862.32659999999998</v>
      </c>
    </row>
    <row r="717" spans="1:6" x14ac:dyDescent="0.3">
      <c r="A717" s="1" t="s">
        <v>101</v>
      </c>
      <c r="B717" s="1">
        <v>96</v>
      </c>
      <c r="C717" s="1" t="s">
        <v>84</v>
      </c>
      <c r="D717" s="2">
        <v>424.49130000000002</v>
      </c>
      <c r="E717" s="2">
        <v>3.1574</v>
      </c>
      <c r="F717" s="2">
        <v>303.96719999999999</v>
      </c>
    </row>
    <row r="718" spans="1:6" hidden="1" x14ac:dyDescent="0.3">
      <c r="A718" s="1" t="s">
        <v>101</v>
      </c>
      <c r="B718" s="1">
        <v>1003</v>
      </c>
      <c r="C718" s="1" t="s">
        <v>89</v>
      </c>
      <c r="D718" s="2">
        <v>257.8895</v>
      </c>
      <c r="E718" s="2">
        <v>3.3784000000000001</v>
      </c>
      <c r="F718" s="2">
        <v>188.9999</v>
      </c>
    </row>
    <row r="719" spans="1:6" hidden="1" x14ac:dyDescent="0.3">
      <c r="A719" s="1" t="s">
        <v>101</v>
      </c>
      <c r="B719" s="1">
        <v>1005</v>
      </c>
      <c r="C719" s="1" t="s">
        <v>89</v>
      </c>
      <c r="D719" s="2">
        <v>248.49879999999999</v>
      </c>
      <c r="E719" s="2">
        <v>-269.19839999999999</v>
      </c>
      <c r="F719" s="2">
        <v>-357.26510000000002</v>
      </c>
    </row>
    <row r="720" spans="1:6" hidden="1" x14ac:dyDescent="0.3">
      <c r="A720" s="1" t="s">
        <v>101</v>
      </c>
      <c r="B720" s="1">
        <v>1007</v>
      </c>
      <c r="C720" s="1" t="s">
        <v>89</v>
      </c>
      <c r="D720" s="2">
        <v>496.15620000000001</v>
      </c>
      <c r="E720" s="2">
        <v>-267.32729999999998</v>
      </c>
      <c r="F720" s="2">
        <v>-644.42219999999998</v>
      </c>
    </row>
    <row r="721" spans="1:6" hidden="1" x14ac:dyDescent="0.3">
      <c r="A721" s="1" t="s">
        <v>101</v>
      </c>
      <c r="B721" s="1">
        <v>1009</v>
      </c>
      <c r="C721" s="1" t="s">
        <v>89</v>
      </c>
      <c r="D721" s="2">
        <v>-153.13399999999999</v>
      </c>
      <c r="E721" s="2">
        <v>-591.94629999999995</v>
      </c>
      <c r="F721" s="2">
        <v>-644.55859999999996</v>
      </c>
    </row>
    <row r="722" spans="1:6" hidden="1" x14ac:dyDescent="0.3">
      <c r="A722" s="1" t="s">
        <v>101</v>
      </c>
      <c r="B722" s="1">
        <v>1012</v>
      </c>
      <c r="C722" s="1" t="s">
        <v>89</v>
      </c>
      <c r="D722" s="2">
        <v>1126.3316</v>
      </c>
      <c r="E722" s="2">
        <v>-24.049700000000001</v>
      </c>
      <c r="F722" s="2">
        <v>-490.12189999999998</v>
      </c>
    </row>
    <row r="723" spans="1:6" hidden="1" x14ac:dyDescent="0.3">
      <c r="A723" s="1" t="s">
        <v>101</v>
      </c>
      <c r="B723" s="1">
        <v>1015</v>
      </c>
      <c r="C723" s="1" t="s">
        <v>89</v>
      </c>
      <c r="D723" s="2">
        <v>510.91759999999999</v>
      </c>
      <c r="E723" s="2">
        <v>-410.53100000000001</v>
      </c>
      <c r="F723" s="2">
        <v>412.15050000000002</v>
      </c>
    </row>
    <row r="724" spans="1:6" hidden="1" x14ac:dyDescent="0.3">
      <c r="A724" s="1" t="s">
        <v>101</v>
      </c>
      <c r="B724" s="1">
        <v>1016</v>
      </c>
      <c r="C724" s="1" t="s">
        <v>89</v>
      </c>
      <c r="D724" s="2">
        <v>698.71669999999995</v>
      </c>
      <c r="E724" s="2">
        <v>-26.9072</v>
      </c>
      <c r="F724" s="2">
        <v>-1064.1872000000001</v>
      </c>
    </row>
    <row r="725" spans="1:6" hidden="1" x14ac:dyDescent="0.3">
      <c r="A725" s="1" t="s">
        <v>101</v>
      </c>
      <c r="B725" s="1">
        <v>1017</v>
      </c>
      <c r="C725" s="1" t="s">
        <v>89</v>
      </c>
      <c r="D725" s="2">
        <v>1082.4898000000001</v>
      </c>
      <c r="E725" s="2">
        <v>-96.819500000000005</v>
      </c>
      <c r="F725" s="2">
        <v>-381.21019999999999</v>
      </c>
    </row>
    <row r="726" spans="1:6" hidden="1" x14ac:dyDescent="0.3">
      <c r="A726" s="1" t="s">
        <v>101</v>
      </c>
      <c r="B726" s="1">
        <v>1018</v>
      </c>
      <c r="C726" s="1" t="s">
        <v>89</v>
      </c>
      <c r="D726" s="2">
        <v>589.64059999999995</v>
      </c>
      <c r="E726" s="2">
        <v>-333.41160000000002</v>
      </c>
      <c r="F726" s="2">
        <v>-999.88580000000002</v>
      </c>
    </row>
    <row r="727" spans="1:6" hidden="1" x14ac:dyDescent="0.3">
      <c r="A727" s="1" t="s">
        <v>101</v>
      </c>
      <c r="B727" s="1">
        <v>1022</v>
      </c>
      <c r="C727" s="1" t="s">
        <v>89</v>
      </c>
      <c r="D727" s="2">
        <v>869.03530000000001</v>
      </c>
      <c r="E727" s="2">
        <v>9.4146000000000001</v>
      </c>
      <c r="F727" s="2">
        <v>-906.89189999999996</v>
      </c>
    </row>
    <row r="728" spans="1:6" hidden="1" x14ac:dyDescent="0.3">
      <c r="A728" s="1" t="s">
        <v>101</v>
      </c>
      <c r="B728" s="1">
        <v>1028</v>
      </c>
      <c r="C728" s="1" t="s">
        <v>89</v>
      </c>
      <c r="D728" s="2">
        <v>733.19280000000003</v>
      </c>
      <c r="E728" s="2">
        <v>-94.844399999999993</v>
      </c>
      <c r="F728" s="2">
        <v>-664.09550000000002</v>
      </c>
    </row>
    <row r="729" spans="1:6" hidden="1" x14ac:dyDescent="0.3">
      <c r="A729" s="1" t="s">
        <v>101</v>
      </c>
      <c r="B729" s="1">
        <v>1043</v>
      </c>
      <c r="C729" s="1" t="s">
        <v>89</v>
      </c>
      <c r="D729" s="2">
        <v>934.20699999999999</v>
      </c>
      <c r="E729" s="2">
        <v>-0.84689999999999999</v>
      </c>
      <c r="F729" s="2">
        <v>-982.77829999999994</v>
      </c>
    </row>
    <row r="730" spans="1:6" hidden="1" x14ac:dyDescent="0.3">
      <c r="A730" s="1" t="s">
        <v>101</v>
      </c>
      <c r="B730" s="1">
        <v>1047</v>
      </c>
      <c r="C730" s="1" t="s">
        <v>89</v>
      </c>
      <c r="D730" s="2">
        <v>-39.974800000000002</v>
      </c>
      <c r="E730" s="2">
        <v>-338.45870000000002</v>
      </c>
      <c r="F730" s="2">
        <v>-616.50720000000001</v>
      </c>
    </row>
  </sheetData>
  <autoFilter ref="A1:F730">
    <filterColumn colId="2">
      <filters>
        <filter val="ABS2_P1"/>
        <filter val="ABS2_P2"/>
        <filter val="ABS2_P3"/>
        <filter val="ABS2_P4"/>
        <filter val="CENTER_P1"/>
        <filter val="CENTER_P2"/>
        <filter val="CENTER_P3"/>
        <filter val="CENTER_P4"/>
        <filter val="CENTER_P5"/>
        <filter val="TEST_P116"/>
        <filter val="TEST_P121"/>
        <filter val="TEST_P13"/>
        <filter val="TEST_P34"/>
        <filter val="TEST_P37"/>
        <filter val="TEST_P4"/>
        <filter val="TEST_P42"/>
        <filter val="TEST_P506"/>
        <filter val="TEST_P507"/>
        <filter val="TEST_P508"/>
        <filter val="TEST_P509"/>
        <filter val="TEST_P57"/>
        <filter val="TEST_P87"/>
        <filter val="TEST_P92"/>
        <filter val="TEST_P96"/>
      </filters>
    </filterColumn>
    <sortState ref="A11:F821">
      <sortCondition descending="1" ref="B1:B834"/>
    </sortState>
  </autoFilter>
  <sortState ref="A2:F834">
    <sortCondition ref="A2:A834"/>
    <sortCondition ref="C2:C834"/>
    <sortCondition ref="B2:B834"/>
  </sortState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277"/>
  <sheetViews>
    <sheetView topLeftCell="D18" zoomScale="80" zoomScaleNormal="80" workbookViewId="0">
      <selection activeCell="AA34" sqref="AA34"/>
    </sheetView>
  </sheetViews>
  <sheetFormatPr defaultRowHeight="16.5" x14ac:dyDescent="0.3"/>
  <cols>
    <col min="1" max="1" width="19.75" bestFit="1" customWidth="1"/>
    <col min="2" max="2" width="8.125" bestFit="1" customWidth="1"/>
    <col min="3" max="3" width="11.625" bestFit="1" customWidth="1"/>
    <col min="4" max="4" width="9.5" style="7" bestFit="1" customWidth="1"/>
    <col min="5" max="5" width="9.25" style="7" bestFit="1" customWidth="1"/>
    <col min="6" max="6" width="10.25" style="7" bestFit="1" customWidth="1"/>
    <col min="7" max="7" width="14.875" bestFit="1" customWidth="1"/>
    <col min="8" max="8" width="8.125" customWidth="1"/>
    <col min="9" max="9" width="15.625" bestFit="1" customWidth="1"/>
    <col min="10" max="10" width="8.875" style="7" bestFit="1" customWidth="1"/>
    <col min="11" max="11" width="8.625" style="7" bestFit="1" customWidth="1"/>
    <col min="12" max="12" width="9.625" style="7" bestFit="1" customWidth="1"/>
    <col min="13" max="16" width="9.625" style="14" customWidth="1"/>
    <col min="17" max="17" width="4.5" customWidth="1"/>
    <col min="18" max="18" width="7.75" customWidth="1"/>
    <col min="19" max="19" width="13.375" bestFit="1" customWidth="1"/>
    <col min="20" max="20" width="14.875" bestFit="1" customWidth="1"/>
    <col min="21" max="21" width="7.375" customWidth="1"/>
    <col min="22" max="22" width="16.5" bestFit="1" customWidth="1"/>
    <col min="23" max="23" width="8.875" style="7" bestFit="1" customWidth="1"/>
    <col min="24" max="24" width="8.625" style="7" bestFit="1" customWidth="1"/>
    <col min="25" max="25" width="9.625" style="7" bestFit="1" customWidth="1"/>
    <col min="26" max="29" width="9.625" style="14" customWidth="1"/>
    <col min="30" max="30" width="4.25" customWidth="1"/>
    <col min="31" max="31" width="12.625" bestFit="1" customWidth="1"/>
    <col min="32" max="32" width="10.625" bestFit="1" customWidth="1"/>
  </cols>
  <sheetData>
    <row r="1" spans="1:32" x14ac:dyDescent="0.3">
      <c r="A1" t="s">
        <v>0</v>
      </c>
      <c r="B1" t="s">
        <v>1</v>
      </c>
      <c r="C1" t="s">
        <v>2</v>
      </c>
      <c r="D1" s="7" t="s">
        <v>3</v>
      </c>
      <c r="E1" s="7" t="s">
        <v>4</v>
      </c>
      <c r="F1" s="7" t="s">
        <v>5</v>
      </c>
      <c r="G1" s="4" t="s">
        <v>110</v>
      </c>
      <c r="H1" s="4" t="s">
        <v>111</v>
      </c>
      <c r="I1" s="4" t="s">
        <v>112</v>
      </c>
      <c r="J1" s="10" t="s">
        <v>113</v>
      </c>
      <c r="K1" s="10" t="s">
        <v>114</v>
      </c>
      <c r="L1" s="10" t="s">
        <v>115</v>
      </c>
      <c r="M1" s="12" t="s">
        <v>129</v>
      </c>
      <c r="N1" s="12" t="s">
        <v>131</v>
      </c>
      <c r="O1" s="12" t="s">
        <v>133</v>
      </c>
      <c r="P1" s="12" t="s">
        <v>135</v>
      </c>
      <c r="Q1" s="4" t="s">
        <v>116</v>
      </c>
      <c r="R1" s="4" t="s">
        <v>117</v>
      </c>
      <c r="S1" s="4" t="s">
        <v>118</v>
      </c>
      <c r="T1" s="5" t="s">
        <v>119</v>
      </c>
      <c r="U1" s="5" t="s">
        <v>120</v>
      </c>
      <c r="V1" s="5" t="s">
        <v>121</v>
      </c>
      <c r="W1" s="9" t="s">
        <v>122</v>
      </c>
      <c r="X1" s="9" t="s">
        <v>123</v>
      </c>
      <c r="Y1" s="9" t="s">
        <v>124</v>
      </c>
      <c r="Z1" s="12" t="s">
        <v>129</v>
      </c>
      <c r="AA1" s="12" t="s">
        <v>131</v>
      </c>
      <c r="AB1" s="12" t="s">
        <v>133</v>
      </c>
      <c r="AC1" s="12" t="s">
        <v>135</v>
      </c>
      <c r="AD1" s="5" t="s">
        <v>125</v>
      </c>
      <c r="AE1" s="5" t="s">
        <v>126</v>
      </c>
      <c r="AF1" s="5" t="s">
        <v>127</v>
      </c>
    </row>
    <row r="2" spans="1:32" x14ac:dyDescent="0.3">
      <c r="A2" s="1" t="s">
        <v>105</v>
      </c>
      <c r="B2" s="1">
        <v>1003</v>
      </c>
      <c r="C2" s="1" t="s">
        <v>75</v>
      </c>
      <c r="D2" s="8">
        <v>575.96400000000006</v>
      </c>
      <c r="E2" s="8">
        <v>-52.545000000000002</v>
      </c>
      <c r="F2" s="8">
        <v>347.166</v>
      </c>
      <c r="G2" t="s">
        <v>9</v>
      </c>
      <c r="H2">
        <v>51008</v>
      </c>
      <c r="I2" t="s">
        <v>16</v>
      </c>
      <c r="J2" s="11">
        <v>575.96655917048395</v>
      </c>
      <c r="K2" s="11">
        <v>-52.489565876763947</v>
      </c>
      <c r="L2" s="11">
        <v>347.19898691941052</v>
      </c>
      <c r="M2" s="13">
        <f>D2-J2</f>
        <v>-2.5591704838916485E-3</v>
      </c>
      <c r="N2" s="13">
        <f t="shared" ref="N2:O2" si="0">E2-K2</f>
        <v>-5.5434123236054234E-2</v>
      </c>
      <c r="O2" s="13">
        <f t="shared" si="0"/>
        <v>-3.2986919410518567E-2</v>
      </c>
      <c r="P2" s="13">
        <f>SQRT(M2*M2+N2*N2+O2*O2)</f>
        <v>6.4557170203717235E-2</v>
      </c>
      <c r="Q2">
        <v>1</v>
      </c>
      <c r="R2" t="s">
        <v>17</v>
      </c>
      <c r="S2" t="s">
        <v>18</v>
      </c>
      <c r="T2" t="s">
        <v>9</v>
      </c>
      <c r="U2">
        <v>1003</v>
      </c>
      <c r="V2" s="6" t="s">
        <v>42</v>
      </c>
      <c r="W2" s="11">
        <v>575.96400000000006</v>
      </c>
      <c r="X2" s="11">
        <v>-52.545000000000002</v>
      </c>
      <c r="Y2" s="11">
        <v>347.166</v>
      </c>
      <c r="Z2" s="13"/>
      <c r="AA2" s="13"/>
      <c r="AB2" s="13"/>
      <c r="AC2" s="13"/>
      <c r="AD2">
        <v>1</v>
      </c>
      <c r="AE2" t="s">
        <v>17</v>
      </c>
    </row>
    <row r="3" spans="1:32" x14ac:dyDescent="0.3">
      <c r="A3" s="1" t="s">
        <v>105</v>
      </c>
      <c r="B3" s="1">
        <v>1012</v>
      </c>
      <c r="C3" s="1" t="s">
        <v>76</v>
      </c>
      <c r="D3" s="8">
        <v>1296.71</v>
      </c>
      <c r="E3" s="8">
        <v>-47.786999999999999</v>
      </c>
      <c r="F3" s="8">
        <v>-489.62900000000002</v>
      </c>
      <c r="G3" t="s">
        <v>9</v>
      </c>
      <c r="H3">
        <v>51011</v>
      </c>
      <c r="I3" t="s">
        <v>19</v>
      </c>
      <c r="J3" s="11">
        <v>1296.716820104768</v>
      </c>
      <c r="K3" s="11">
        <v>-47.663002670235542</v>
      </c>
      <c r="L3" s="11">
        <v>-489.78593905772118</v>
      </c>
      <c r="M3" s="13">
        <f t="shared" ref="M3:M66" si="1">D3-J3</f>
        <v>-6.8201047679394833E-3</v>
      </c>
      <c r="N3" s="13">
        <f t="shared" ref="N3:N66" si="2">E3-K3</f>
        <v>-0.12399732976445677</v>
      </c>
      <c r="O3" s="13">
        <f t="shared" ref="O3:O66" si="3">F3-L3</f>
        <v>0.15693905772116068</v>
      </c>
      <c r="P3" s="13">
        <f t="shared" ref="P3:P66" si="4">SQRT(M3*M3+N3*N3+O3*O3)</f>
        <v>0.20012925687206984</v>
      </c>
      <c r="Q3">
        <v>1</v>
      </c>
      <c r="R3" t="s">
        <v>17</v>
      </c>
      <c r="S3" t="s">
        <v>18</v>
      </c>
      <c r="T3" t="s">
        <v>9</v>
      </c>
      <c r="U3">
        <v>1012</v>
      </c>
      <c r="V3" s="6" t="s">
        <v>43</v>
      </c>
      <c r="W3" s="11">
        <v>1296.71</v>
      </c>
      <c r="X3" s="11">
        <v>-47.786999999999999</v>
      </c>
      <c r="Y3" s="11">
        <v>-489.62900000000002</v>
      </c>
      <c r="Z3" s="13"/>
      <c r="AA3" s="13"/>
      <c r="AB3" s="13"/>
      <c r="AC3" s="13"/>
      <c r="AD3">
        <v>1</v>
      </c>
      <c r="AE3" t="s">
        <v>17</v>
      </c>
    </row>
    <row r="4" spans="1:32" x14ac:dyDescent="0.3">
      <c r="A4" s="1" t="s">
        <v>105</v>
      </c>
      <c r="B4" s="1">
        <v>1028</v>
      </c>
      <c r="C4" s="1" t="s">
        <v>77</v>
      </c>
      <c r="D4" s="8">
        <v>604.53200000000004</v>
      </c>
      <c r="E4" s="8">
        <v>-47.247999999999998</v>
      </c>
      <c r="F4" s="8">
        <v>-1115.1500000000001</v>
      </c>
      <c r="G4" t="s">
        <v>9</v>
      </c>
      <c r="H4">
        <v>51024</v>
      </c>
      <c r="I4" t="s">
        <v>20</v>
      </c>
      <c r="J4" s="11">
        <v>604.37338382958046</v>
      </c>
      <c r="K4" s="11">
        <v>-47.239717057152262</v>
      </c>
      <c r="L4" s="11">
        <v>-1115.1450088011879</v>
      </c>
      <c r="M4" s="13">
        <f t="shared" si="1"/>
        <v>0.15861617041957743</v>
      </c>
      <c r="N4" s="13">
        <f t="shared" si="2"/>
        <v>-8.2829428477353417E-3</v>
      </c>
      <c r="O4" s="13">
        <f t="shared" si="3"/>
        <v>-4.9911988121493778E-3</v>
      </c>
      <c r="P4" s="13">
        <f t="shared" si="4"/>
        <v>0.15891069418504747</v>
      </c>
      <c r="Q4">
        <v>1</v>
      </c>
      <c r="R4" t="s">
        <v>17</v>
      </c>
      <c r="S4" t="s">
        <v>18</v>
      </c>
      <c r="T4" t="s">
        <v>9</v>
      </c>
      <c r="U4">
        <v>1028</v>
      </c>
      <c r="V4" s="6" t="s">
        <v>44</v>
      </c>
      <c r="W4" s="11">
        <v>604.53199999999993</v>
      </c>
      <c r="X4" s="11">
        <v>-47.247999999999998</v>
      </c>
      <c r="Y4" s="11">
        <v>-1115.1500000000001</v>
      </c>
      <c r="Z4" s="13"/>
      <c r="AA4" s="13"/>
      <c r="AB4" s="13"/>
      <c r="AC4" s="13"/>
      <c r="AD4">
        <v>1</v>
      </c>
      <c r="AE4" t="s">
        <v>17</v>
      </c>
    </row>
    <row r="5" spans="1:32" x14ac:dyDescent="0.3">
      <c r="A5" s="1" t="s">
        <v>105</v>
      </c>
      <c r="B5" s="1">
        <v>1001</v>
      </c>
      <c r="C5" s="1" t="s">
        <v>78</v>
      </c>
      <c r="D5" s="8">
        <v>-115.56699999999999</v>
      </c>
      <c r="E5" s="8">
        <v>-51.792000000000002</v>
      </c>
      <c r="F5" s="8">
        <v>-282.96300000000002</v>
      </c>
      <c r="G5" t="s">
        <v>9</v>
      </c>
      <c r="H5">
        <v>51003</v>
      </c>
      <c r="I5" t="s">
        <v>21</v>
      </c>
      <c r="J5" s="11">
        <v>-115.5743377143116</v>
      </c>
      <c r="K5" s="11">
        <v>-51.763870123153509</v>
      </c>
      <c r="L5" s="11">
        <v>-282.99005023324048</v>
      </c>
      <c r="M5" s="13">
        <f t="shared" si="1"/>
        <v>7.3377143116033494E-3</v>
      </c>
      <c r="N5" s="13">
        <f t="shared" si="2"/>
        <v>-2.8129876846492152E-2</v>
      </c>
      <c r="O5" s="13">
        <f t="shared" si="3"/>
        <v>2.7050233240458965E-2</v>
      </c>
      <c r="P5" s="13">
        <f t="shared" si="4"/>
        <v>3.970953463692007E-2</v>
      </c>
      <c r="Q5">
        <v>1</v>
      </c>
      <c r="R5" t="s">
        <v>17</v>
      </c>
      <c r="S5" t="s">
        <v>18</v>
      </c>
      <c r="T5" t="s">
        <v>9</v>
      </c>
      <c r="U5">
        <v>1001</v>
      </c>
      <c r="V5" s="6" t="s">
        <v>45</v>
      </c>
      <c r="W5" s="11">
        <v>-115.56699999999999</v>
      </c>
      <c r="X5" s="11">
        <v>-51.792000000000002</v>
      </c>
      <c r="Y5" s="11">
        <v>-282.96300000000002</v>
      </c>
      <c r="Z5" s="13"/>
      <c r="AA5" s="13"/>
      <c r="AB5" s="13"/>
      <c r="AC5" s="13"/>
      <c r="AD5">
        <v>1</v>
      </c>
      <c r="AE5" t="s">
        <v>17</v>
      </c>
    </row>
    <row r="6" spans="1:32" x14ac:dyDescent="0.3">
      <c r="A6" s="1" t="s">
        <v>105</v>
      </c>
      <c r="B6" s="1">
        <v>501</v>
      </c>
      <c r="C6" s="1" t="s">
        <v>94</v>
      </c>
      <c r="D6" s="8">
        <v>0.13700000000000001</v>
      </c>
      <c r="E6" s="8">
        <v>7.2999999999999995E-2</v>
      </c>
      <c r="F6" s="8">
        <v>-0.214</v>
      </c>
      <c r="G6" t="s">
        <v>9</v>
      </c>
      <c r="H6">
        <v>501</v>
      </c>
      <c r="I6" s="5" t="s">
        <v>10</v>
      </c>
      <c r="J6" s="11">
        <v>0.13700000000000001</v>
      </c>
      <c r="K6" s="11">
        <v>7.2999999999999995E-2</v>
      </c>
      <c r="L6" s="11">
        <v>-0.214</v>
      </c>
      <c r="M6" s="13"/>
      <c r="N6" s="13"/>
      <c r="O6" s="13"/>
      <c r="P6" s="13"/>
      <c r="Q6">
        <v>1</v>
      </c>
      <c r="R6" t="s">
        <v>11</v>
      </c>
      <c r="T6" t="s">
        <v>9</v>
      </c>
      <c r="U6">
        <v>50501</v>
      </c>
      <c r="V6" t="s">
        <v>67</v>
      </c>
      <c r="W6" s="11">
        <v>0.14508682997487249</v>
      </c>
      <c r="X6" s="11">
        <v>2.6492753288077792E-2</v>
      </c>
      <c r="Y6" s="11">
        <v>-0.2378495190417102</v>
      </c>
      <c r="Z6" s="13">
        <f t="shared" ref="Z6:Z66" si="5">D6-W6</f>
        <v>-8.0868299748724781E-3</v>
      </c>
      <c r="AA6" s="13">
        <f t="shared" ref="AA6:AA66" si="6">E6-X6</f>
        <v>4.6507246711922204E-2</v>
      </c>
      <c r="AB6" s="13">
        <f t="shared" ref="AB6:AB66" si="7">F6-Y6</f>
        <v>2.3849519041710204E-2</v>
      </c>
      <c r="AC6" s="13">
        <f t="shared" ref="AC6:AC66" si="8">SQRT(Z6*Z6+AA6*AA6+AB6*AB6)</f>
        <v>5.2887809316391546E-2</v>
      </c>
      <c r="AD6">
        <v>1</v>
      </c>
      <c r="AE6" t="s">
        <v>11</v>
      </c>
      <c r="AF6" t="s">
        <v>68</v>
      </c>
    </row>
    <row r="7" spans="1:32" x14ac:dyDescent="0.3">
      <c r="A7" s="1" t="s">
        <v>105</v>
      </c>
      <c r="B7" s="1">
        <v>502</v>
      </c>
      <c r="C7" s="1" t="s">
        <v>85</v>
      </c>
      <c r="D7" s="8">
        <v>172.21799999999999</v>
      </c>
      <c r="E7" s="8">
        <v>-2.5000000000000001E-2</v>
      </c>
      <c r="F7" s="8">
        <v>-175.55600000000001</v>
      </c>
      <c r="G7" t="s">
        <v>9</v>
      </c>
      <c r="H7">
        <v>502</v>
      </c>
      <c r="I7" s="5" t="s">
        <v>12</v>
      </c>
      <c r="J7" s="11">
        <v>172.21799999999999</v>
      </c>
      <c r="K7" s="11">
        <v>-2.5000000000000001E-2</v>
      </c>
      <c r="L7" s="11">
        <v>-175.55600000000001</v>
      </c>
      <c r="M7" s="13"/>
      <c r="N7" s="13"/>
      <c r="O7" s="13"/>
      <c r="P7" s="13"/>
      <c r="Q7">
        <v>1</v>
      </c>
      <c r="R7" t="s">
        <v>11</v>
      </c>
      <c r="T7" t="s">
        <v>9</v>
      </c>
      <c r="U7">
        <v>50502</v>
      </c>
      <c r="V7" t="s">
        <v>69</v>
      </c>
      <c r="W7" s="11">
        <v>172.23660146270319</v>
      </c>
      <c r="X7" s="11">
        <v>-4.0383314062542627E-2</v>
      </c>
      <c r="Y7" s="11">
        <v>-175.5577155212294</v>
      </c>
      <c r="Z7" s="13">
        <f t="shared" si="5"/>
        <v>-1.8601462703202287E-2</v>
      </c>
      <c r="AA7" s="13">
        <f t="shared" si="6"/>
        <v>1.5383314062542626E-2</v>
      </c>
      <c r="AB7" s="13">
        <f t="shared" si="7"/>
        <v>1.7155212293857858E-3</v>
      </c>
      <c r="AC7" s="13">
        <f t="shared" si="8"/>
        <v>2.4199251627559079E-2</v>
      </c>
      <c r="AD7">
        <v>1</v>
      </c>
      <c r="AE7" t="s">
        <v>11</v>
      </c>
      <c r="AF7" t="s">
        <v>68</v>
      </c>
    </row>
    <row r="8" spans="1:32" x14ac:dyDescent="0.3">
      <c r="A8" s="1" t="s">
        <v>105</v>
      </c>
      <c r="B8" s="1">
        <v>503</v>
      </c>
      <c r="C8" s="1" t="s">
        <v>95</v>
      </c>
      <c r="D8" s="8">
        <v>170.846</v>
      </c>
      <c r="E8" s="8">
        <v>-0.46500000000000002</v>
      </c>
      <c r="F8" s="8">
        <v>-1.252</v>
      </c>
      <c r="G8" t="s">
        <v>9</v>
      </c>
      <c r="H8">
        <v>503</v>
      </c>
      <c r="I8" s="5" t="s">
        <v>13</v>
      </c>
      <c r="J8" s="11">
        <v>170.846</v>
      </c>
      <c r="K8" s="11">
        <v>-0.46500000000000002</v>
      </c>
      <c r="L8" s="11">
        <v>-1.252</v>
      </c>
      <c r="M8" s="13"/>
      <c r="N8" s="13"/>
      <c r="O8" s="13"/>
      <c r="P8" s="13"/>
      <c r="Q8">
        <v>1</v>
      </c>
      <c r="R8" t="s">
        <v>11</v>
      </c>
      <c r="T8" t="s">
        <v>9</v>
      </c>
      <c r="U8">
        <v>50503</v>
      </c>
      <c r="V8" t="s">
        <v>70</v>
      </c>
      <c r="W8" s="11">
        <v>170.85297062679209</v>
      </c>
      <c r="X8" s="11">
        <v>-0.4872692173697396</v>
      </c>
      <c r="Y8" s="11">
        <v>-1.2542957447966641</v>
      </c>
      <c r="Z8" s="13">
        <f t="shared" si="5"/>
        <v>-6.9706267920821574E-3</v>
      </c>
      <c r="AA8" s="13">
        <f t="shared" si="6"/>
        <v>2.226921736973958E-2</v>
      </c>
      <c r="AB8" s="13">
        <f t="shared" si="7"/>
        <v>2.2957447966640565E-3</v>
      </c>
      <c r="AC8" s="13">
        <f t="shared" si="8"/>
        <v>2.3447347916270078E-2</v>
      </c>
      <c r="AD8">
        <v>1</v>
      </c>
      <c r="AE8" t="s">
        <v>11</v>
      </c>
      <c r="AF8" t="s">
        <v>68</v>
      </c>
    </row>
    <row r="9" spans="1:32" x14ac:dyDescent="0.3">
      <c r="A9" s="1" t="s">
        <v>105</v>
      </c>
      <c r="B9" s="1">
        <v>504</v>
      </c>
      <c r="C9" s="1" t="s">
        <v>87</v>
      </c>
      <c r="D9" s="8">
        <v>346.60300000000001</v>
      </c>
      <c r="E9" s="8">
        <v>0.155</v>
      </c>
      <c r="F9" s="8">
        <v>-0.316</v>
      </c>
      <c r="G9" t="s">
        <v>9</v>
      </c>
      <c r="H9">
        <v>504</v>
      </c>
      <c r="I9" s="5" t="s">
        <v>14</v>
      </c>
      <c r="J9" s="11">
        <v>346.60300000000001</v>
      </c>
      <c r="K9" s="11">
        <v>0.155</v>
      </c>
      <c r="L9" s="11">
        <v>-0.316</v>
      </c>
      <c r="M9" s="13"/>
      <c r="N9" s="13"/>
      <c r="O9" s="13"/>
      <c r="P9" s="13"/>
      <c r="Q9">
        <v>1</v>
      </c>
      <c r="R9" t="s">
        <v>11</v>
      </c>
      <c r="T9" t="s">
        <v>9</v>
      </c>
      <c r="U9">
        <v>50504</v>
      </c>
      <c r="V9" t="s">
        <v>71</v>
      </c>
      <c r="W9" s="11">
        <v>346.60763146314429</v>
      </c>
      <c r="X9" s="11">
        <v>8.3867894168555862E-2</v>
      </c>
      <c r="Y9" s="11">
        <v>-0.30496771477570672</v>
      </c>
      <c r="Z9" s="13">
        <f t="shared" si="5"/>
        <v>-4.6314631442783138E-3</v>
      </c>
      <c r="AA9" s="13">
        <f t="shared" si="6"/>
        <v>7.1132105831444137E-2</v>
      </c>
      <c r="AB9" s="13">
        <f t="shared" si="7"/>
        <v>-1.1032285224293281E-2</v>
      </c>
      <c r="AC9" s="13">
        <f t="shared" si="8"/>
        <v>7.2131395717417932E-2</v>
      </c>
      <c r="AD9">
        <v>1</v>
      </c>
      <c r="AE9" t="s">
        <v>11</v>
      </c>
      <c r="AF9" t="s">
        <v>68</v>
      </c>
    </row>
    <row r="10" spans="1:32" x14ac:dyDescent="0.3">
      <c r="A10" s="1" t="s">
        <v>105</v>
      </c>
      <c r="B10" s="1">
        <v>505</v>
      </c>
      <c r="C10" s="1" t="s">
        <v>96</v>
      </c>
      <c r="D10" s="8">
        <v>170.08600000000001</v>
      </c>
      <c r="E10" s="8">
        <v>0.28199999999999997</v>
      </c>
      <c r="F10" s="8">
        <v>174.864</v>
      </c>
      <c r="G10" t="s">
        <v>9</v>
      </c>
      <c r="H10">
        <v>505</v>
      </c>
      <c r="I10" s="5" t="s">
        <v>15</v>
      </c>
      <c r="J10" s="11">
        <v>170.08600000000001</v>
      </c>
      <c r="K10" s="11">
        <v>0.28199999999999997</v>
      </c>
      <c r="L10" s="11">
        <v>174.864</v>
      </c>
      <c r="M10" s="13"/>
      <c r="N10" s="13"/>
      <c r="O10" s="13"/>
      <c r="P10" s="13"/>
      <c r="Q10">
        <v>1</v>
      </c>
      <c r="R10" t="s">
        <v>11</v>
      </c>
      <c r="T10" t="s">
        <v>9</v>
      </c>
      <c r="U10">
        <v>50505</v>
      </c>
      <c r="V10" t="s">
        <v>72</v>
      </c>
      <c r="W10" s="11">
        <v>170.07002533296929</v>
      </c>
      <c r="X10" s="11">
        <v>0.25508452581118668</v>
      </c>
      <c r="Y10" s="11">
        <v>174.86338732089339</v>
      </c>
      <c r="Z10" s="13">
        <f t="shared" si="5"/>
        <v>1.5974667030718592E-2</v>
      </c>
      <c r="AA10" s="13">
        <f t="shared" si="6"/>
        <v>2.6915474188813293E-2</v>
      </c>
      <c r="AB10" s="13">
        <f t="shared" si="7"/>
        <v>6.1267910660944835E-4</v>
      </c>
      <c r="AC10" s="13">
        <f t="shared" si="8"/>
        <v>3.1305081268680299E-2</v>
      </c>
      <c r="AD10">
        <v>1</v>
      </c>
      <c r="AE10" t="s">
        <v>11</v>
      </c>
      <c r="AF10" t="s">
        <v>68</v>
      </c>
    </row>
    <row r="11" spans="1:32" x14ac:dyDescent="0.3">
      <c r="A11" s="1" t="s">
        <v>105</v>
      </c>
      <c r="B11" s="1">
        <v>116</v>
      </c>
      <c r="C11" s="1" t="s">
        <v>81</v>
      </c>
      <c r="D11" s="8">
        <v>1011.739</v>
      </c>
      <c r="E11" s="8">
        <v>-627.24199999999996</v>
      </c>
      <c r="F11" s="8">
        <v>-1134.9490000000001</v>
      </c>
      <c r="G11" t="s">
        <v>9</v>
      </c>
      <c r="H11">
        <v>50116</v>
      </c>
      <c r="I11" t="s">
        <v>22</v>
      </c>
      <c r="J11" s="11">
        <v>1011.5842591803161</v>
      </c>
      <c r="K11" s="11">
        <v>-627.25332135774977</v>
      </c>
      <c r="L11" s="11">
        <v>-1134.9485078346299</v>
      </c>
      <c r="M11" s="13">
        <f t="shared" si="1"/>
        <v>0.15474081968397968</v>
      </c>
      <c r="N11" s="13">
        <f t="shared" si="2"/>
        <v>1.1321357749807248E-2</v>
      </c>
      <c r="O11" s="13">
        <f t="shared" si="3"/>
        <v>-4.921653701330797E-4</v>
      </c>
      <c r="P11" s="13">
        <f t="shared" si="4"/>
        <v>0.15515520179652564</v>
      </c>
      <c r="Q11">
        <v>1</v>
      </c>
      <c r="R11" t="s">
        <v>23</v>
      </c>
      <c r="S11" t="s">
        <v>18</v>
      </c>
      <c r="T11" t="s">
        <v>9</v>
      </c>
      <c r="U11">
        <v>50116</v>
      </c>
      <c r="V11" t="s">
        <v>22</v>
      </c>
      <c r="W11" s="11">
        <v>1011.656037811921</v>
      </c>
      <c r="X11" s="11">
        <v>-627.31273480749269</v>
      </c>
      <c r="Y11" s="11">
        <v>-1134.889470529972</v>
      </c>
      <c r="Z11" s="13">
        <f t="shared" si="5"/>
        <v>8.2962188079022781E-2</v>
      </c>
      <c r="AA11" s="13">
        <f t="shared" si="6"/>
        <v>7.0734807492726759E-2</v>
      </c>
      <c r="AB11" s="13">
        <f t="shared" si="7"/>
        <v>-5.9529470028110154E-2</v>
      </c>
      <c r="AC11" s="13">
        <f t="shared" si="8"/>
        <v>0.12421713023460142</v>
      </c>
      <c r="AD11">
        <v>1</v>
      </c>
      <c r="AE11" t="s">
        <v>23</v>
      </c>
      <c r="AF11" t="s">
        <v>68</v>
      </c>
    </row>
    <row r="12" spans="1:32" x14ac:dyDescent="0.3">
      <c r="A12" s="1" t="s">
        <v>105</v>
      </c>
      <c r="B12" s="1">
        <v>121</v>
      </c>
      <c r="C12" s="1" t="s">
        <v>93</v>
      </c>
      <c r="D12" s="8">
        <v>635.53899999999999</v>
      </c>
      <c r="E12" s="8">
        <v>-99.588999999999999</v>
      </c>
      <c r="F12" s="8">
        <v>95.965999999999994</v>
      </c>
      <c r="G12" t="s">
        <v>9</v>
      </c>
      <c r="H12">
        <v>50121</v>
      </c>
      <c r="I12" t="s">
        <v>24</v>
      </c>
      <c r="J12" s="11">
        <v>635.52741971554894</v>
      </c>
      <c r="K12" s="11">
        <v>-99.531566106709874</v>
      </c>
      <c r="L12" s="11">
        <v>95.94854358520044</v>
      </c>
      <c r="M12" s="13">
        <f t="shared" si="1"/>
        <v>1.1580284451042644E-2</v>
      </c>
      <c r="N12" s="13">
        <f t="shared" si="2"/>
        <v>-5.7433893290124161E-2</v>
      </c>
      <c r="O12" s="13">
        <f t="shared" si="3"/>
        <v>1.7456414799553954E-2</v>
      </c>
      <c r="P12" s="13">
        <f t="shared" si="4"/>
        <v>6.1134945032137844E-2</v>
      </c>
      <c r="Q12">
        <v>1</v>
      </c>
      <c r="R12" t="s">
        <v>23</v>
      </c>
      <c r="S12" t="s">
        <v>18</v>
      </c>
      <c r="T12" t="s">
        <v>9</v>
      </c>
      <c r="U12">
        <v>50121</v>
      </c>
      <c r="V12" t="s">
        <v>24</v>
      </c>
      <c r="W12" s="11">
        <v>635.51503182852446</v>
      </c>
      <c r="X12" s="11">
        <v>-99.604984694615268</v>
      </c>
      <c r="Y12" s="11">
        <v>95.98786810134068</v>
      </c>
      <c r="Z12" s="13">
        <f t="shared" si="5"/>
        <v>2.3968171475530653E-2</v>
      </c>
      <c r="AA12" s="13">
        <f t="shared" si="6"/>
        <v>1.5984694615269746E-2</v>
      </c>
      <c r="AB12" s="13">
        <f t="shared" si="7"/>
        <v>-2.1868101340686508E-2</v>
      </c>
      <c r="AC12" s="13">
        <f t="shared" si="8"/>
        <v>3.6169013838787616E-2</v>
      </c>
      <c r="AD12">
        <v>1</v>
      </c>
      <c r="AE12" t="s">
        <v>23</v>
      </c>
      <c r="AF12" t="s">
        <v>68</v>
      </c>
    </row>
    <row r="13" spans="1:32" x14ac:dyDescent="0.3">
      <c r="A13" s="1" t="s">
        <v>105</v>
      </c>
      <c r="B13" s="1">
        <v>13</v>
      </c>
      <c r="C13" s="1" t="s">
        <v>80</v>
      </c>
      <c r="D13" s="8">
        <v>280.04300000000001</v>
      </c>
      <c r="E13" s="8">
        <v>3.5579999999999998</v>
      </c>
      <c r="F13" s="8">
        <v>200.518</v>
      </c>
      <c r="G13" t="s">
        <v>9</v>
      </c>
      <c r="H13">
        <v>50013</v>
      </c>
      <c r="I13" t="s">
        <v>25</v>
      </c>
      <c r="J13" s="11">
        <v>280.03997692072079</v>
      </c>
      <c r="K13" s="11">
        <v>3.5859931465249142</v>
      </c>
      <c r="L13" s="11">
        <v>200.53761898177069</v>
      </c>
      <c r="M13" s="13">
        <f t="shared" si="1"/>
        <v>3.0230792792167449E-3</v>
      </c>
      <c r="N13" s="13">
        <f t="shared" si="2"/>
        <v>-2.7993146524914359E-2</v>
      </c>
      <c r="O13" s="13">
        <f t="shared" si="3"/>
        <v>-1.961898177069088E-2</v>
      </c>
      <c r="P13" s="13">
        <f t="shared" si="4"/>
        <v>3.4317046877790282E-2</v>
      </c>
      <c r="Q13">
        <v>1</v>
      </c>
      <c r="R13" t="s">
        <v>23</v>
      </c>
      <c r="S13" t="s">
        <v>18</v>
      </c>
      <c r="T13" t="s">
        <v>9</v>
      </c>
      <c r="U13">
        <v>50013</v>
      </c>
      <c r="V13" t="s">
        <v>25</v>
      </c>
      <c r="W13" s="11">
        <v>280.02468093967229</v>
      </c>
      <c r="X13" s="11">
        <v>3.5349302803151579</v>
      </c>
      <c r="Y13" s="11">
        <v>200.54501069497121</v>
      </c>
      <c r="Z13" s="13">
        <f t="shared" si="5"/>
        <v>1.8319060327712577E-2</v>
      </c>
      <c r="AA13" s="13">
        <f t="shared" si="6"/>
        <v>2.3069719684841949E-2</v>
      </c>
      <c r="AB13" s="13">
        <f t="shared" si="7"/>
        <v>-2.7010694971210114E-2</v>
      </c>
      <c r="AC13" s="13">
        <f t="shared" si="8"/>
        <v>3.9967206312867459E-2</v>
      </c>
      <c r="AD13">
        <v>1</v>
      </c>
      <c r="AE13" t="s">
        <v>23</v>
      </c>
      <c r="AF13" t="s">
        <v>68</v>
      </c>
    </row>
    <row r="14" spans="1:32" x14ac:dyDescent="0.3">
      <c r="A14" s="1" t="s">
        <v>105</v>
      </c>
      <c r="B14" s="1">
        <v>34</v>
      </c>
      <c r="C14" s="1" t="s">
        <v>74</v>
      </c>
      <c r="D14" s="8">
        <v>757.70500000000004</v>
      </c>
      <c r="E14" s="8">
        <v>-96.141000000000005</v>
      </c>
      <c r="F14" s="8">
        <v>-665.92600000000004</v>
      </c>
      <c r="G14" t="s">
        <v>9</v>
      </c>
      <c r="H14">
        <v>50034</v>
      </c>
      <c r="I14" t="s">
        <v>26</v>
      </c>
      <c r="J14" s="11">
        <v>757.59690613320936</v>
      </c>
      <c r="K14" s="11">
        <v>-96.132853137544316</v>
      </c>
      <c r="L14" s="11">
        <v>-665.98167795439804</v>
      </c>
      <c r="M14" s="13">
        <f t="shared" si="1"/>
        <v>0.10809386679068211</v>
      </c>
      <c r="N14" s="13">
        <f t="shared" si="2"/>
        <v>-8.1468624556890745E-3</v>
      </c>
      <c r="O14" s="13">
        <f t="shared" si="3"/>
        <v>5.5677954397992835E-2</v>
      </c>
      <c r="P14" s="13">
        <f t="shared" si="4"/>
        <v>0.12186340718845265</v>
      </c>
      <c r="Q14">
        <v>1</v>
      </c>
      <c r="R14" t="s">
        <v>23</v>
      </c>
      <c r="S14" t="s">
        <v>18</v>
      </c>
      <c r="T14" t="s">
        <v>9</v>
      </c>
      <c r="U14">
        <v>50034</v>
      </c>
      <c r="V14" t="s">
        <v>26</v>
      </c>
      <c r="W14" s="11">
        <v>757.66063830996268</v>
      </c>
      <c r="X14" s="11">
        <v>-96.189546288375766</v>
      </c>
      <c r="Y14" s="11">
        <v>-665.93007948702962</v>
      </c>
      <c r="Z14" s="13">
        <f t="shared" si="5"/>
        <v>4.4361690037362678E-2</v>
      </c>
      <c r="AA14" s="13">
        <f t="shared" si="6"/>
        <v>4.8546288375760582E-2</v>
      </c>
      <c r="AB14" s="13">
        <f t="shared" si="7"/>
        <v>4.0794870295712826E-3</v>
      </c>
      <c r="AC14" s="13">
        <f t="shared" si="8"/>
        <v>6.5888875179790335E-2</v>
      </c>
      <c r="AD14">
        <v>1</v>
      </c>
      <c r="AE14" t="s">
        <v>23</v>
      </c>
      <c r="AF14" t="s">
        <v>68</v>
      </c>
    </row>
    <row r="15" spans="1:32" x14ac:dyDescent="0.3">
      <c r="A15" s="1" t="s">
        <v>105</v>
      </c>
      <c r="B15" s="1">
        <v>37</v>
      </c>
      <c r="C15" s="1" t="s">
        <v>79</v>
      </c>
      <c r="D15" s="8">
        <v>33.296999999999997</v>
      </c>
      <c r="E15" s="8">
        <v>-99.51</v>
      </c>
      <c r="F15" s="8">
        <v>-390.71300000000002</v>
      </c>
      <c r="G15" t="s">
        <v>9</v>
      </c>
      <c r="H15">
        <v>50037</v>
      </c>
      <c r="I15" t="s">
        <v>27</v>
      </c>
      <c r="J15" s="11">
        <v>33.283311828025248</v>
      </c>
      <c r="K15" s="11">
        <v>-99.562715614550257</v>
      </c>
      <c r="L15" s="11">
        <v>-390.73664905784563</v>
      </c>
      <c r="M15" s="13">
        <f t="shared" si="1"/>
        <v>1.3688171974749253E-2</v>
      </c>
      <c r="N15" s="13">
        <f t="shared" si="2"/>
        <v>5.2715614550251644E-2</v>
      </c>
      <c r="O15" s="13">
        <f t="shared" si="3"/>
        <v>2.3649057845602783E-2</v>
      </c>
      <c r="P15" s="13">
        <f t="shared" si="4"/>
        <v>5.9376594769367505E-2</v>
      </c>
      <c r="Q15">
        <v>1</v>
      </c>
      <c r="R15" t="s">
        <v>23</v>
      </c>
      <c r="S15" t="s">
        <v>18</v>
      </c>
      <c r="T15" t="s">
        <v>9</v>
      </c>
      <c r="U15">
        <v>50037</v>
      </c>
      <c r="V15" t="s">
        <v>27</v>
      </c>
      <c r="W15" s="11">
        <v>33.319390777172273</v>
      </c>
      <c r="X15" s="11">
        <v>-99.575946475576842</v>
      </c>
      <c r="Y15" s="11">
        <v>-390.75729340420747</v>
      </c>
      <c r="Z15" s="13">
        <f t="shared" si="5"/>
        <v>-2.2390777172276444E-2</v>
      </c>
      <c r="AA15" s="13">
        <f t="shared" si="6"/>
        <v>6.594647557683686E-2</v>
      </c>
      <c r="AB15" s="13">
        <f t="shared" si="7"/>
        <v>4.4293404207451204E-2</v>
      </c>
      <c r="AC15" s="13">
        <f t="shared" si="8"/>
        <v>8.2535993358470783E-2</v>
      </c>
      <c r="AD15">
        <v>1</v>
      </c>
      <c r="AE15" t="s">
        <v>23</v>
      </c>
      <c r="AF15" t="s">
        <v>68</v>
      </c>
    </row>
    <row r="16" spans="1:32" x14ac:dyDescent="0.3">
      <c r="A16" s="1" t="s">
        <v>105</v>
      </c>
      <c r="B16" s="1">
        <v>4</v>
      </c>
      <c r="C16" s="1" t="s">
        <v>88</v>
      </c>
      <c r="D16" s="8">
        <v>1045.4549999999999</v>
      </c>
      <c r="E16" s="8">
        <v>-514.89200000000005</v>
      </c>
      <c r="F16" s="8">
        <v>-1104.8879999999999</v>
      </c>
      <c r="G16" t="s">
        <v>9</v>
      </c>
      <c r="H16">
        <v>50004</v>
      </c>
      <c r="I16" t="s">
        <v>29</v>
      </c>
      <c r="J16" s="11">
        <v>1045.336069856706</v>
      </c>
      <c r="K16" s="11">
        <v>-514.95719004944385</v>
      </c>
      <c r="L16" s="11">
        <v>-1104.9722643471141</v>
      </c>
      <c r="M16" s="13">
        <f t="shared" si="1"/>
        <v>0.11893014329393736</v>
      </c>
      <c r="N16" s="13">
        <f t="shared" si="2"/>
        <v>6.519004944379958E-2</v>
      </c>
      <c r="O16" s="13">
        <f t="shared" si="3"/>
        <v>8.4264347114185512E-2</v>
      </c>
      <c r="P16" s="13">
        <f t="shared" si="4"/>
        <v>0.15967029067732497</v>
      </c>
      <c r="Q16">
        <v>1</v>
      </c>
      <c r="R16" t="s">
        <v>23</v>
      </c>
      <c r="S16" t="s">
        <v>18</v>
      </c>
      <c r="T16" t="s">
        <v>9</v>
      </c>
      <c r="U16">
        <v>50004</v>
      </c>
      <c r="V16" t="s">
        <v>29</v>
      </c>
      <c r="W16" s="11">
        <v>1045.413035403232</v>
      </c>
      <c r="X16" s="11">
        <v>-515.02006776036023</v>
      </c>
      <c r="Y16" s="11">
        <v>-1104.9060910434621</v>
      </c>
      <c r="Z16" s="13">
        <f t="shared" si="5"/>
        <v>4.1964596767911644E-2</v>
      </c>
      <c r="AA16" s="13">
        <f t="shared" si="6"/>
        <v>0.12806776036018164</v>
      </c>
      <c r="AB16" s="13">
        <f t="shared" si="7"/>
        <v>1.8091043462163725E-2</v>
      </c>
      <c r="AC16" s="13">
        <f t="shared" si="8"/>
        <v>0.13597670564885822</v>
      </c>
      <c r="AD16">
        <v>1</v>
      </c>
      <c r="AE16" t="s">
        <v>23</v>
      </c>
      <c r="AF16" t="s">
        <v>68</v>
      </c>
    </row>
    <row r="17" spans="1:32" x14ac:dyDescent="0.3">
      <c r="A17" s="1" t="s">
        <v>105</v>
      </c>
      <c r="B17" s="1">
        <v>42</v>
      </c>
      <c r="C17" s="1" t="s">
        <v>90</v>
      </c>
      <c r="D17" s="8">
        <v>1083.175</v>
      </c>
      <c r="E17" s="8">
        <v>-97.664000000000001</v>
      </c>
      <c r="F17" s="8">
        <v>-356.78</v>
      </c>
      <c r="G17" t="s">
        <v>9</v>
      </c>
      <c r="H17">
        <v>50042</v>
      </c>
      <c r="I17" t="s">
        <v>28</v>
      </c>
      <c r="J17" s="11">
        <v>1083.1747014861519</v>
      </c>
      <c r="K17" s="11">
        <v>-97.557743946805203</v>
      </c>
      <c r="L17" s="11">
        <v>-356.88870183426792</v>
      </c>
      <c r="M17" s="13">
        <f t="shared" si="1"/>
        <v>2.9851384806534043E-4</v>
      </c>
      <c r="N17" s="13">
        <f t="shared" si="2"/>
        <v>-0.10625605319479803</v>
      </c>
      <c r="O17" s="13">
        <f t="shared" si="3"/>
        <v>0.10870183426794711</v>
      </c>
      <c r="P17" s="13">
        <f t="shared" si="4"/>
        <v>0.15200831136575879</v>
      </c>
      <c r="Q17">
        <v>1</v>
      </c>
      <c r="R17" t="s">
        <v>23</v>
      </c>
      <c r="S17" t="s">
        <v>18</v>
      </c>
      <c r="T17" t="s">
        <v>9</v>
      </c>
      <c r="U17">
        <v>50042</v>
      </c>
      <c r="V17" t="s">
        <v>28</v>
      </c>
      <c r="W17" s="11">
        <v>1083.207547752143</v>
      </c>
      <c r="X17" s="11">
        <v>-97.648520723185783</v>
      </c>
      <c r="Y17" s="11">
        <v>-356.80473246135551</v>
      </c>
      <c r="Z17" s="13">
        <f t="shared" si="5"/>
        <v>-3.2547752143045727E-2</v>
      </c>
      <c r="AA17" s="13">
        <f t="shared" si="6"/>
        <v>-1.5479276814218679E-2</v>
      </c>
      <c r="AB17" s="13">
        <f t="shared" si="7"/>
        <v>2.4732461355540636E-2</v>
      </c>
      <c r="AC17" s="13">
        <f t="shared" si="8"/>
        <v>4.3711083548222146E-2</v>
      </c>
      <c r="AD17">
        <v>1</v>
      </c>
      <c r="AE17" t="s">
        <v>23</v>
      </c>
      <c r="AF17" t="s">
        <v>68</v>
      </c>
    </row>
    <row r="18" spans="1:32" x14ac:dyDescent="0.3">
      <c r="A18" s="1" t="s">
        <v>105</v>
      </c>
      <c r="B18" s="1">
        <v>506</v>
      </c>
      <c r="C18" s="1" t="s">
        <v>82</v>
      </c>
      <c r="D18" s="8">
        <v>1148.377</v>
      </c>
      <c r="E18" s="8">
        <v>-24.509</v>
      </c>
      <c r="F18" s="8">
        <v>-460.96699999999998</v>
      </c>
      <c r="G18" t="s">
        <v>9</v>
      </c>
      <c r="H18">
        <v>50506</v>
      </c>
      <c r="I18" t="s">
        <v>30</v>
      </c>
      <c r="J18" s="11">
        <v>1148.414993566887</v>
      </c>
      <c r="K18" s="11">
        <v>-24.40153155703878</v>
      </c>
      <c r="L18" s="11">
        <v>-461.10418382659822</v>
      </c>
      <c r="M18" s="13">
        <f t="shared" si="1"/>
        <v>-3.7993566887053021E-2</v>
      </c>
      <c r="N18" s="13">
        <f t="shared" si="2"/>
        <v>-0.10746844296122049</v>
      </c>
      <c r="O18" s="13">
        <f t="shared" si="3"/>
        <v>0.13718382659823192</v>
      </c>
      <c r="P18" s="13">
        <f t="shared" si="4"/>
        <v>0.17836025240351011</v>
      </c>
      <c r="Q18">
        <v>1</v>
      </c>
      <c r="R18" t="s">
        <v>23</v>
      </c>
      <c r="S18" t="s">
        <v>18</v>
      </c>
      <c r="T18" t="s">
        <v>9</v>
      </c>
      <c r="U18">
        <v>50506</v>
      </c>
      <c r="V18" t="s">
        <v>30</v>
      </c>
      <c r="W18" s="11">
        <v>1148.463541067691</v>
      </c>
      <c r="X18" s="11">
        <v>-24.493553779792499</v>
      </c>
      <c r="Y18" s="11">
        <v>-461.01125796145089</v>
      </c>
      <c r="Z18" s="13">
        <f t="shared" si="5"/>
        <v>-8.6541067691086937E-2</v>
      </c>
      <c r="AA18" s="13">
        <f t="shared" si="6"/>
        <v>-1.5446220207500971E-2</v>
      </c>
      <c r="AB18" s="13">
        <f t="shared" si="7"/>
        <v>4.4257961450909988E-2</v>
      </c>
      <c r="AC18" s="13">
        <f t="shared" si="8"/>
        <v>9.8421081418576861E-2</v>
      </c>
      <c r="AD18">
        <v>1</v>
      </c>
      <c r="AE18" t="s">
        <v>23</v>
      </c>
      <c r="AF18" t="s">
        <v>68</v>
      </c>
    </row>
    <row r="19" spans="1:32" x14ac:dyDescent="0.3">
      <c r="A19" s="1" t="s">
        <v>105</v>
      </c>
      <c r="B19" s="1">
        <v>507</v>
      </c>
      <c r="C19" s="1" t="s">
        <v>83</v>
      </c>
      <c r="D19" s="8">
        <v>676.41300000000001</v>
      </c>
      <c r="E19" s="8">
        <v>-29.733000000000001</v>
      </c>
      <c r="F19" s="8">
        <v>-1094.1880000000001</v>
      </c>
      <c r="G19" t="s">
        <v>9</v>
      </c>
      <c r="H19">
        <v>50507</v>
      </c>
      <c r="I19" t="s">
        <v>31</v>
      </c>
      <c r="J19" s="11">
        <v>676.16944436218739</v>
      </c>
      <c r="K19" s="11">
        <v>-29.801583196519228</v>
      </c>
      <c r="L19" s="11">
        <v>-1094.1137477370751</v>
      </c>
      <c r="M19" s="13">
        <f t="shared" si="1"/>
        <v>0.24355563781261935</v>
      </c>
      <c r="N19" s="13">
        <f t="shared" si="2"/>
        <v>6.858319651922784E-2</v>
      </c>
      <c r="O19" s="13">
        <f t="shared" si="3"/>
        <v>-7.4252262925028845E-2</v>
      </c>
      <c r="P19" s="13">
        <f t="shared" si="4"/>
        <v>0.26369755801788242</v>
      </c>
      <c r="Q19">
        <v>1</v>
      </c>
      <c r="R19" t="s">
        <v>23</v>
      </c>
      <c r="S19" t="s">
        <v>18</v>
      </c>
      <c r="T19" t="s">
        <v>9</v>
      </c>
      <c r="U19">
        <v>50507</v>
      </c>
      <c r="V19" t="s">
        <v>31</v>
      </c>
      <c r="W19" s="11">
        <v>676.28063809863102</v>
      </c>
      <c r="X19" s="11">
        <v>-29.83796048983621</v>
      </c>
      <c r="Y19" s="11">
        <v>-1094.068025371861</v>
      </c>
      <c r="Z19" s="13">
        <f t="shared" si="5"/>
        <v>0.13236190136899495</v>
      </c>
      <c r="AA19" s="13">
        <f t="shared" si="6"/>
        <v>0.10496048983620909</v>
      </c>
      <c r="AB19" s="13">
        <f t="shared" si="7"/>
        <v>-0.11997462813906168</v>
      </c>
      <c r="AC19" s="13">
        <f t="shared" si="8"/>
        <v>0.20719625662105634</v>
      </c>
      <c r="AD19">
        <v>1</v>
      </c>
      <c r="AE19" t="s">
        <v>23</v>
      </c>
      <c r="AF19" t="s">
        <v>68</v>
      </c>
    </row>
    <row r="20" spans="1:32" x14ac:dyDescent="0.3">
      <c r="A20" s="1" t="s">
        <v>105</v>
      </c>
      <c r="B20" s="1">
        <v>509</v>
      </c>
      <c r="C20" s="1" t="s">
        <v>97</v>
      </c>
      <c r="D20" s="8">
        <v>488.351</v>
      </c>
      <c r="E20" s="8">
        <v>-400.55799999999999</v>
      </c>
      <c r="F20" s="8">
        <v>439.95699999999999</v>
      </c>
      <c r="G20" t="s">
        <v>9</v>
      </c>
      <c r="H20">
        <v>50509</v>
      </c>
      <c r="I20" t="s">
        <v>32</v>
      </c>
      <c r="J20" s="11">
        <v>488.38009667879402</v>
      </c>
      <c r="K20" s="11">
        <v>-400.60472101519753</v>
      </c>
      <c r="L20" s="11">
        <v>439.96388864698167</v>
      </c>
      <c r="M20" s="13">
        <f t="shared" si="1"/>
        <v>-2.9096678794019226E-2</v>
      </c>
      <c r="N20" s="13">
        <f t="shared" si="2"/>
        <v>4.6721015197533688E-2</v>
      </c>
      <c r="O20" s="13">
        <f t="shared" si="3"/>
        <v>-6.8886469816789031E-3</v>
      </c>
      <c r="P20" s="13">
        <f t="shared" si="4"/>
        <v>5.5470022851705186E-2</v>
      </c>
      <c r="Q20">
        <v>1</v>
      </c>
      <c r="R20" t="s">
        <v>23</v>
      </c>
      <c r="S20" t="s">
        <v>18</v>
      </c>
      <c r="T20" t="s">
        <v>9</v>
      </c>
      <c r="U20">
        <v>50509</v>
      </c>
      <c r="V20" t="s">
        <v>32</v>
      </c>
      <c r="W20" s="11">
        <v>488.311542294616</v>
      </c>
      <c r="X20" s="11">
        <v>-400.6789923969842</v>
      </c>
      <c r="Y20" s="11">
        <v>439.97843697857661</v>
      </c>
      <c r="Z20" s="13">
        <f t="shared" si="5"/>
        <v>3.945770538399529E-2</v>
      </c>
      <c r="AA20" s="13">
        <f t="shared" si="6"/>
        <v>0.12099239698420661</v>
      </c>
      <c r="AB20" s="13">
        <f t="shared" si="7"/>
        <v>-2.1436978576616639E-2</v>
      </c>
      <c r="AC20" s="13">
        <f t="shared" si="8"/>
        <v>0.12905663366386222</v>
      </c>
      <c r="AD20">
        <v>1</v>
      </c>
      <c r="AE20" t="s">
        <v>23</v>
      </c>
      <c r="AF20" t="s">
        <v>68</v>
      </c>
    </row>
    <row r="21" spans="1:32" x14ac:dyDescent="0.3">
      <c r="A21" s="1" t="s">
        <v>105</v>
      </c>
      <c r="B21" s="1">
        <v>57</v>
      </c>
      <c r="C21" s="1" t="s">
        <v>91</v>
      </c>
      <c r="D21" s="8">
        <v>381.72899999999998</v>
      </c>
      <c r="E21" s="8">
        <v>-99.488</v>
      </c>
      <c r="F21" s="8">
        <v>-132.196</v>
      </c>
      <c r="G21" t="s">
        <v>9</v>
      </c>
      <c r="H21">
        <v>50057</v>
      </c>
      <c r="I21" t="s">
        <v>33</v>
      </c>
      <c r="J21" s="11">
        <v>381.70544329364498</v>
      </c>
      <c r="K21" s="11">
        <v>-99.476068887090776</v>
      </c>
      <c r="L21" s="11">
        <v>-132.22599107692389</v>
      </c>
      <c r="M21" s="13">
        <f t="shared" si="1"/>
        <v>2.3556706355009283E-2</v>
      </c>
      <c r="N21" s="13">
        <f t="shared" si="2"/>
        <v>-1.1931112909223884E-2</v>
      </c>
      <c r="O21" s="13">
        <f t="shared" si="3"/>
        <v>2.9991076923892024E-2</v>
      </c>
      <c r="P21" s="13">
        <f t="shared" si="4"/>
        <v>3.9959161209960251E-2</v>
      </c>
      <c r="Q21">
        <v>1</v>
      </c>
      <c r="R21" t="s">
        <v>23</v>
      </c>
      <c r="S21" t="s">
        <v>18</v>
      </c>
      <c r="T21" t="s">
        <v>9</v>
      </c>
      <c r="U21">
        <v>50057</v>
      </c>
      <c r="V21" t="s">
        <v>33</v>
      </c>
      <c r="W21" s="11">
        <v>381.71578318873742</v>
      </c>
      <c r="X21" s="11">
        <v>-99.523345798489714</v>
      </c>
      <c r="Y21" s="11">
        <v>-132.21193862055401</v>
      </c>
      <c r="Z21" s="13">
        <f t="shared" si="5"/>
        <v>1.3216811262566353E-2</v>
      </c>
      <c r="AA21" s="13">
        <f t="shared" si="6"/>
        <v>3.5345798489714753E-2</v>
      </c>
      <c r="AB21" s="13">
        <f t="shared" si="7"/>
        <v>1.5938620554010186E-2</v>
      </c>
      <c r="AC21" s="13">
        <f t="shared" si="8"/>
        <v>4.0963998779300563E-2</v>
      </c>
      <c r="AD21">
        <v>1</v>
      </c>
      <c r="AE21" t="s">
        <v>23</v>
      </c>
      <c r="AF21" t="s">
        <v>68</v>
      </c>
    </row>
    <row r="22" spans="1:32" x14ac:dyDescent="0.3">
      <c r="A22" s="1" t="s">
        <v>105</v>
      </c>
      <c r="B22" s="1">
        <v>87</v>
      </c>
      <c r="C22" s="1" t="s">
        <v>86</v>
      </c>
      <c r="D22" s="8">
        <v>1198.3520000000001</v>
      </c>
      <c r="E22" s="8">
        <v>-633.30899999999997</v>
      </c>
      <c r="F22" s="8">
        <v>-974.89300000000003</v>
      </c>
      <c r="G22" t="s">
        <v>9</v>
      </c>
      <c r="H22">
        <v>50087</v>
      </c>
      <c r="I22" t="s">
        <v>34</v>
      </c>
      <c r="J22" s="11">
        <v>1198.236604643957</v>
      </c>
      <c r="K22" s="11">
        <v>-633.25987838027129</v>
      </c>
      <c r="L22" s="11">
        <v>-974.95074512075075</v>
      </c>
      <c r="M22" s="13">
        <f t="shared" si="1"/>
        <v>0.11539535604310913</v>
      </c>
      <c r="N22" s="13">
        <f t="shared" si="2"/>
        <v>-4.9121619728680344E-2</v>
      </c>
      <c r="O22" s="13">
        <f t="shared" si="3"/>
        <v>5.77451207507238E-2</v>
      </c>
      <c r="P22" s="13">
        <f t="shared" si="4"/>
        <v>0.13807070902838398</v>
      </c>
      <c r="Q22">
        <v>1</v>
      </c>
      <c r="R22" t="s">
        <v>23</v>
      </c>
      <c r="S22" t="s">
        <v>18</v>
      </c>
      <c r="T22" t="s">
        <v>9</v>
      </c>
      <c r="U22">
        <v>50087</v>
      </c>
      <c r="V22" t="s">
        <v>34</v>
      </c>
      <c r="W22" s="11">
        <v>1198.2920120228091</v>
      </c>
      <c r="X22" s="11">
        <v>-633.33825356612067</v>
      </c>
      <c r="Y22" s="11">
        <v>-974.87332408895827</v>
      </c>
      <c r="Z22" s="13">
        <f t="shared" si="5"/>
        <v>5.9987977190985475E-2</v>
      </c>
      <c r="AA22" s="13">
        <f t="shared" si="6"/>
        <v>2.925356612070118E-2</v>
      </c>
      <c r="AB22" s="13">
        <f t="shared" si="7"/>
        <v>-1.9675911041758809E-2</v>
      </c>
      <c r="AC22" s="13">
        <f t="shared" si="8"/>
        <v>6.9580672701315807E-2</v>
      </c>
      <c r="AD22">
        <v>1</v>
      </c>
      <c r="AE22" t="s">
        <v>23</v>
      </c>
      <c r="AF22" t="s">
        <v>68</v>
      </c>
    </row>
    <row r="23" spans="1:32" x14ac:dyDescent="0.3">
      <c r="A23" s="1" t="s">
        <v>105</v>
      </c>
      <c r="B23" s="1">
        <v>92</v>
      </c>
      <c r="C23" s="1" t="s">
        <v>92</v>
      </c>
      <c r="D23" s="8">
        <v>532.42499999999995</v>
      </c>
      <c r="E23" s="8">
        <v>-96.355999999999995</v>
      </c>
      <c r="F23" s="8">
        <v>-862.404</v>
      </c>
      <c r="G23" t="s">
        <v>9</v>
      </c>
      <c r="H23">
        <v>50092</v>
      </c>
      <c r="I23" t="s">
        <v>35</v>
      </c>
      <c r="J23" s="11">
        <v>532.30704416074934</v>
      </c>
      <c r="K23" s="11">
        <v>-96.329491737783457</v>
      </c>
      <c r="L23" s="11">
        <v>-862.41329521575142</v>
      </c>
      <c r="M23" s="13">
        <f t="shared" si="1"/>
        <v>0.11795583925061237</v>
      </c>
      <c r="N23" s="13">
        <f t="shared" si="2"/>
        <v>-2.6508262216538014E-2</v>
      </c>
      <c r="O23" s="13">
        <f t="shared" si="3"/>
        <v>9.2952157514218925E-3</v>
      </c>
      <c r="P23" s="13">
        <f t="shared" si="4"/>
        <v>0.12125456286227963</v>
      </c>
      <c r="Q23">
        <v>1</v>
      </c>
      <c r="R23" t="s">
        <v>23</v>
      </c>
      <c r="S23" t="s">
        <v>18</v>
      </c>
      <c r="T23" t="s">
        <v>9</v>
      </c>
      <c r="U23">
        <v>50092</v>
      </c>
      <c r="V23" t="s">
        <v>35</v>
      </c>
      <c r="W23" s="11">
        <v>532.39032456717666</v>
      </c>
      <c r="X23" s="11">
        <v>-96.363186616250232</v>
      </c>
      <c r="Y23" s="11">
        <v>-862.38413627762702</v>
      </c>
      <c r="Z23" s="13">
        <f t="shared" si="5"/>
        <v>3.4675432823291885E-2</v>
      </c>
      <c r="AA23" s="13">
        <f t="shared" si="6"/>
        <v>7.1866162502374209E-3</v>
      </c>
      <c r="AB23" s="13">
        <f t="shared" si="7"/>
        <v>-1.9863722372974735E-2</v>
      </c>
      <c r="AC23" s="13">
        <f t="shared" si="8"/>
        <v>4.0602962467305534E-2</v>
      </c>
      <c r="AD23">
        <v>1</v>
      </c>
      <c r="AE23" t="s">
        <v>23</v>
      </c>
      <c r="AF23" t="s">
        <v>68</v>
      </c>
    </row>
    <row r="24" spans="1:32" x14ac:dyDescent="0.3">
      <c r="A24" s="1" t="s">
        <v>105</v>
      </c>
      <c r="B24" s="1">
        <v>96</v>
      </c>
      <c r="C24" s="1" t="s">
        <v>84</v>
      </c>
      <c r="D24" s="8">
        <v>424.923</v>
      </c>
      <c r="E24" s="8">
        <v>3.706</v>
      </c>
      <c r="F24" s="8">
        <v>303.69299999999998</v>
      </c>
      <c r="G24" t="s">
        <v>9</v>
      </c>
      <c r="H24">
        <v>50096</v>
      </c>
      <c r="I24" t="s">
        <v>36</v>
      </c>
      <c r="J24" s="11">
        <v>424.93131542676912</v>
      </c>
      <c r="K24" s="11">
        <v>3.7690448353641628</v>
      </c>
      <c r="L24" s="11">
        <v>303.73290593483352</v>
      </c>
      <c r="M24" s="13">
        <f t="shared" si="1"/>
        <v>-8.3154267691156747E-3</v>
      </c>
      <c r="N24" s="13">
        <f t="shared" si="2"/>
        <v>-6.3044835364162832E-2</v>
      </c>
      <c r="O24" s="13">
        <f t="shared" si="3"/>
        <v>-3.9905934833541323E-2</v>
      </c>
      <c r="P24" s="13">
        <f t="shared" si="4"/>
        <v>7.5075170485226134E-2</v>
      </c>
      <c r="Q24">
        <v>1</v>
      </c>
      <c r="R24" t="s">
        <v>23</v>
      </c>
      <c r="S24" t="s">
        <v>18</v>
      </c>
      <c r="T24" t="s">
        <v>9</v>
      </c>
      <c r="U24">
        <v>50096</v>
      </c>
      <c r="V24" t="s">
        <v>36</v>
      </c>
      <c r="W24" s="11">
        <v>424.90575539126621</v>
      </c>
      <c r="X24" s="11">
        <v>3.7039686609429112</v>
      </c>
      <c r="Y24" s="11">
        <v>303.75473127931127</v>
      </c>
      <c r="Z24" s="13">
        <f t="shared" si="5"/>
        <v>1.7244608733790301E-2</v>
      </c>
      <c r="AA24" s="13">
        <f t="shared" si="6"/>
        <v>2.0313390570887435E-3</v>
      </c>
      <c r="AB24" s="13">
        <f t="shared" si="7"/>
        <v>-6.1731279311288745E-2</v>
      </c>
      <c r="AC24" s="13">
        <f t="shared" si="8"/>
        <v>6.4126856418779146E-2</v>
      </c>
      <c r="AD24">
        <v>1</v>
      </c>
      <c r="AE24" t="s">
        <v>23</v>
      </c>
      <c r="AF24" t="s">
        <v>68</v>
      </c>
    </row>
    <row r="25" spans="1:32" x14ac:dyDescent="0.3">
      <c r="A25" s="1" t="s">
        <v>106</v>
      </c>
      <c r="B25" s="1">
        <v>1005</v>
      </c>
      <c r="C25" s="1" t="s">
        <v>75</v>
      </c>
      <c r="D25" s="8">
        <v>575.70699999999999</v>
      </c>
      <c r="E25" s="8">
        <v>-52.798999999999999</v>
      </c>
      <c r="F25" s="8">
        <v>347.279</v>
      </c>
      <c r="G25" t="s">
        <v>37</v>
      </c>
      <c r="H25">
        <v>51008</v>
      </c>
      <c r="I25" t="s">
        <v>16</v>
      </c>
      <c r="J25" s="11">
        <v>575.70433023956389</v>
      </c>
      <c r="K25" s="11">
        <v>-52.922794532756193</v>
      </c>
      <c r="L25" s="11">
        <v>347.27313993353499</v>
      </c>
      <c r="M25" s="13">
        <f t="shared" si="1"/>
        <v>2.6697604361061167E-3</v>
      </c>
      <c r="N25" s="13">
        <f t="shared" si="2"/>
        <v>0.12379453275619312</v>
      </c>
      <c r="O25" s="13">
        <f t="shared" si="3"/>
        <v>5.8600664650043655E-3</v>
      </c>
      <c r="P25" s="13">
        <f t="shared" si="4"/>
        <v>0.12396190681045786</v>
      </c>
      <c r="Q25">
        <v>2</v>
      </c>
      <c r="R25" t="s">
        <v>17</v>
      </c>
      <c r="S25" t="s">
        <v>18</v>
      </c>
      <c r="T25" t="s">
        <v>37</v>
      </c>
      <c r="U25">
        <v>1005</v>
      </c>
      <c r="V25" s="6" t="s">
        <v>42</v>
      </c>
      <c r="W25" s="11">
        <v>575.70699999999999</v>
      </c>
      <c r="X25" s="11">
        <v>-52.798999999999999</v>
      </c>
      <c r="Y25" s="11">
        <v>347.279</v>
      </c>
      <c r="Z25" s="13"/>
      <c r="AA25" s="13"/>
      <c r="AB25" s="13"/>
      <c r="AC25" s="13"/>
      <c r="AD25">
        <v>2</v>
      </c>
      <c r="AE25" t="s">
        <v>17</v>
      </c>
    </row>
    <row r="26" spans="1:32" x14ac:dyDescent="0.3">
      <c r="A26" s="1" t="s">
        <v>106</v>
      </c>
      <c r="B26" s="1">
        <v>1002</v>
      </c>
      <c r="C26" s="1" t="s">
        <v>76</v>
      </c>
      <c r="D26" s="8">
        <v>1296.8040000000001</v>
      </c>
      <c r="E26" s="8">
        <v>-47.927</v>
      </c>
      <c r="F26" s="8">
        <v>-489.36399999999998</v>
      </c>
      <c r="G26" t="s">
        <v>37</v>
      </c>
      <c r="H26">
        <v>51011</v>
      </c>
      <c r="I26" t="s">
        <v>19</v>
      </c>
      <c r="J26" s="11">
        <v>1296.8050869113149</v>
      </c>
      <c r="K26" s="11">
        <v>-47.751764498292133</v>
      </c>
      <c r="L26" s="11">
        <v>-489.40777883895709</v>
      </c>
      <c r="M26" s="13">
        <f t="shared" si="1"/>
        <v>-1.0869113148146425E-3</v>
      </c>
      <c r="N26" s="13">
        <f t="shared" si="2"/>
        <v>-0.17523550170786706</v>
      </c>
      <c r="O26" s="13">
        <f t="shared" si="3"/>
        <v>4.3778838957109656E-2</v>
      </c>
      <c r="P26" s="13">
        <f t="shared" si="4"/>
        <v>0.18062460844371869</v>
      </c>
      <c r="Q26">
        <v>2</v>
      </c>
      <c r="R26" t="s">
        <v>17</v>
      </c>
      <c r="S26" t="s">
        <v>18</v>
      </c>
      <c r="T26" t="s">
        <v>37</v>
      </c>
      <c r="U26">
        <v>1002</v>
      </c>
      <c r="V26" s="6" t="s">
        <v>43</v>
      </c>
      <c r="W26" s="11">
        <v>1296.8040000000001</v>
      </c>
      <c r="X26" s="11">
        <v>-47.927</v>
      </c>
      <c r="Y26" s="11">
        <v>-489.36399999999998</v>
      </c>
      <c r="Z26" s="13"/>
      <c r="AA26" s="13"/>
      <c r="AB26" s="13"/>
      <c r="AC26" s="13"/>
      <c r="AD26">
        <v>2</v>
      </c>
      <c r="AE26" t="s">
        <v>17</v>
      </c>
    </row>
    <row r="27" spans="1:32" x14ac:dyDescent="0.3">
      <c r="A27" s="1" t="s">
        <v>106</v>
      </c>
      <c r="B27" s="1">
        <v>1022</v>
      </c>
      <c r="C27" s="1" t="s">
        <v>77</v>
      </c>
      <c r="D27" s="8">
        <v>604.74800000000005</v>
      </c>
      <c r="E27" s="8">
        <v>-45.97</v>
      </c>
      <c r="F27" s="8">
        <v>-1115.0540000000001</v>
      </c>
      <c r="G27" t="s">
        <v>37</v>
      </c>
      <c r="H27">
        <v>51024</v>
      </c>
      <c r="I27" t="s">
        <v>20</v>
      </c>
      <c r="J27" s="11">
        <v>604.72103275454378</v>
      </c>
      <c r="K27" s="11">
        <v>-45.820014836728667</v>
      </c>
      <c r="L27" s="11">
        <v>-1115.0510552829969</v>
      </c>
      <c r="M27" s="13">
        <f t="shared" si="1"/>
        <v>2.696724545626239E-2</v>
      </c>
      <c r="N27" s="13">
        <f t="shared" si="2"/>
        <v>-0.1499851632713316</v>
      </c>
      <c r="O27" s="13">
        <f t="shared" si="3"/>
        <v>-2.9447170031744463E-3</v>
      </c>
      <c r="P27" s="13">
        <f t="shared" si="4"/>
        <v>0.15241867630725275</v>
      </c>
      <c r="Q27">
        <v>2</v>
      </c>
      <c r="R27" t="s">
        <v>17</v>
      </c>
      <c r="S27" t="s">
        <v>18</v>
      </c>
      <c r="T27" t="s">
        <v>37</v>
      </c>
      <c r="U27">
        <v>1022</v>
      </c>
      <c r="V27" s="6" t="s">
        <v>44</v>
      </c>
      <c r="W27" s="11">
        <v>604.74800000000005</v>
      </c>
      <c r="X27" s="11">
        <v>-45.97</v>
      </c>
      <c r="Y27" s="11">
        <v>-1115.0540000000001</v>
      </c>
      <c r="Z27" s="13"/>
      <c r="AA27" s="13"/>
      <c r="AB27" s="13"/>
      <c r="AC27" s="13"/>
      <c r="AD27">
        <v>2</v>
      </c>
      <c r="AE27" t="s">
        <v>17</v>
      </c>
    </row>
    <row r="28" spans="1:32" x14ac:dyDescent="0.3">
      <c r="A28" s="1" t="s">
        <v>106</v>
      </c>
      <c r="B28" s="1">
        <v>1008</v>
      </c>
      <c r="C28" s="1" t="s">
        <v>78</v>
      </c>
      <c r="D28" s="8">
        <v>-115.538</v>
      </c>
      <c r="E28" s="8">
        <v>-50.825000000000003</v>
      </c>
      <c r="F28" s="8">
        <v>-283.14</v>
      </c>
      <c r="G28" t="s">
        <v>37</v>
      </c>
      <c r="H28">
        <v>51003</v>
      </c>
      <c r="I28" t="s">
        <v>21</v>
      </c>
      <c r="J28" s="11">
        <v>-115.5748809863023</v>
      </c>
      <c r="K28" s="11">
        <v>-50.683235443478452</v>
      </c>
      <c r="L28" s="11">
        <v>-283.19937948977008</v>
      </c>
      <c r="M28" s="13">
        <f t="shared" si="1"/>
        <v>3.6880986302307406E-2</v>
      </c>
      <c r="N28" s="13">
        <f t="shared" si="2"/>
        <v>-0.14176455652155084</v>
      </c>
      <c r="O28" s="13">
        <f t="shared" si="3"/>
        <v>5.9379489770094551E-2</v>
      </c>
      <c r="P28" s="13">
        <f t="shared" si="4"/>
        <v>0.15806112881331619</v>
      </c>
      <c r="Q28">
        <v>2</v>
      </c>
      <c r="R28" t="s">
        <v>17</v>
      </c>
      <c r="S28" t="s">
        <v>18</v>
      </c>
      <c r="T28" t="s">
        <v>37</v>
      </c>
      <c r="U28">
        <v>1008</v>
      </c>
      <c r="V28" s="6" t="s">
        <v>45</v>
      </c>
      <c r="W28" s="11">
        <v>-115.538</v>
      </c>
      <c r="X28" s="11">
        <v>-50.825000000000003</v>
      </c>
      <c r="Y28" s="11">
        <v>-283.14</v>
      </c>
      <c r="Z28" s="13"/>
      <c r="AA28" s="13"/>
      <c r="AB28" s="13"/>
      <c r="AC28" s="13"/>
      <c r="AD28">
        <v>2</v>
      </c>
      <c r="AE28" t="s">
        <v>17</v>
      </c>
    </row>
    <row r="29" spans="1:32" x14ac:dyDescent="0.3">
      <c r="A29" s="1" t="s">
        <v>106</v>
      </c>
      <c r="B29" s="1">
        <v>501</v>
      </c>
      <c r="C29" s="1" t="s">
        <v>94</v>
      </c>
      <c r="D29" s="8">
        <v>8.5000000000000006E-2</v>
      </c>
      <c r="E29" s="8">
        <v>0.67200000000000004</v>
      </c>
      <c r="F29" s="8">
        <v>-0.309</v>
      </c>
      <c r="G29" t="s">
        <v>37</v>
      </c>
      <c r="H29">
        <v>501</v>
      </c>
      <c r="I29" s="5" t="s">
        <v>10</v>
      </c>
      <c r="J29" s="11">
        <v>8.5000000000000006E-2</v>
      </c>
      <c r="K29" s="11">
        <v>0.67200000000000004</v>
      </c>
      <c r="L29" s="11">
        <v>-0.309</v>
      </c>
      <c r="M29" s="13"/>
      <c r="N29" s="13"/>
      <c r="O29" s="13"/>
      <c r="P29" s="13"/>
      <c r="Q29">
        <v>2</v>
      </c>
      <c r="R29" t="s">
        <v>11</v>
      </c>
      <c r="T29" t="s">
        <v>37</v>
      </c>
      <c r="U29">
        <v>50501</v>
      </c>
      <c r="V29" t="s">
        <v>67</v>
      </c>
      <c r="W29" s="11">
        <v>9.1362952287361937E-2</v>
      </c>
      <c r="X29" s="11">
        <v>0.63376596077748426</v>
      </c>
      <c r="Y29" s="11">
        <v>-0.29620592568704951</v>
      </c>
      <c r="Z29" s="13">
        <f t="shared" si="5"/>
        <v>-6.362952287361931E-3</v>
      </c>
      <c r="AA29" s="13">
        <f t="shared" si="6"/>
        <v>3.8234039222515781E-2</v>
      </c>
      <c r="AB29" s="13">
        <f t="shared" si="7"/>
        <v>-1.2794074312950487E-2</v>
      </c>
      <c r="AC29" s="13">
        <f t="shared" si="8"/>
        <v>4.0816874630542441E-2</v>
      </c>
      <c r="AD29">
        <v>2</v>
      </c>
      <c r="AE29" t="s">
        <v>11</v>
      </c>
      <c r="AF29" t="s">
        <v>68</v>
      </c>
    </row>
    <row r="30" spans="1:32" x14ac:dyDescent="0.3">
      <c r="A30" s="5"/>
      <c r="B30" s="5"/>
      <c r="C30" s="5"/>
      <c r="D30" s="9"/>
      <c r="E30" s="9"/>
      <c r="F30" s="9"/>
      <c r="G30" t="s">
        <v>37</v>
      </c>
      <c r="H30">
        <v>502</v>
      </c>
      <c r="I30" s="5" t="s">
        <v>12</v>
      </c>
      <c r="J30" s="11">
        <v>172.2254300254238</v>
      </c>
      <c r="K30" s="11">
        <v>0.62479111494987394</v>
      </c>
      <c r="L30" s="11">
        <v>-175.58022314421021</v>
      </c>
      <c r="M30" s="13"/>
      <c r="N30" s="13"/>
      <c r="O30" s="13"/>
      <c r="P30" s="13"/>
      <c r="Q30">
        <v>2</v>
      </c>
      <c r="R30" t="s">
        <v>11</v>
      </c>
      <c r="S30" t="s">
        <v>38</v>
      </c>
      <c r="T30" t="s">
        <v>37</v>
      </c>
      <c r="U30">
        <v>50502</v>
      </c>
      <c r="V30" t="s">
        <v>69</v>
      </c>
      <c r="W30" s="11">
        <v>172.2380112805503</v>
      </c>
      <c r="X30" s="11">
        <v>0.59198448908889056</v>
      </c>
      <c r="Y30" s="11">
        <v>-175.5619442194963</v>
      </c>
      <c r="Z30" s="13"/>
      <c r="AA30" s="13"/>
      <c r="AB30" s="13"/>
      <c r="AC30" s="13"/>
      <c r="AD30">
        <v>2</v>
      </c>
      <c r="AE30" t="s">
        <v>11</v>
      </c>
      <c r="AF30" t="s">
        <v>68</v>
      </c>
    </row>
    <row r="31" spans="1:32" x14ac:dyDescent="0.3">
      <c r="A31" s="1" t="s">
        <v>106</v>
      </c>
      <c r="B31" s="1">
        <v>503</v>
      </c>
      <c r="C31" s="1" t="s">
        <v>95</v>
      </c>
      <c r="D31" s="8">
        <v>170.77699999999999</v>
      </c>
      <c r="E31" s="8">
        <v>-3.7999999999999999E-2</v>
      </c>
      <c r="F31" s="8">
        <v>-1.27</v>
      </c>
      <c r="G31" t="s">
        <v>37</v>
      </c>
      <c r="H31">
        <v>503</v>
      </c>
      <c r="I31" s="5" t="s">
        <v>13</v>
      </c>
      <c r="J31" s="11">
        <v>170.77699999999999</v>
      </c>
      <c r="K31" s="11">
        <v>-3.7999999999999999E-2</v>
      </c>
      <c r="L31" s="11">
        <v>-1.27</v>
      </c>
      <c r="M31" s="13"/>
      <c r="N31" s="13"/>
      <c r="O31" s="13"/>
      <c r="P31" s="13"/>
      <c r="Q31">
        <v>2</v>
      </c>
      <c r="R31" t="s">
        <v>11</v>
      </c>
      <c r="T31" t="s">
        <v>37</v>
      </c>
      <c r="U31">
        <v>50503</v>
      </c>
      <c r="V31" t="s">
        <v>70</v>
      </c>
      <c r="W31" s="11">
        <v>170.799000736908</v>
      </c>
      <c r="X31" s="11">
        <v>-3.9351925040653213E-2</v>
      </c>
      <c r="Y31" s="11">
        <v>-1.2595433466239849</v>
      </c>
      <c r="Z31" s="13">
        <f t="shared" si="5"/>
        <v>-2.2000736908012186E-2</v>
      </c>
      <c r="AA31" s="13">
        <f t="shared" si="6"/>
        <v>1.3519250406532138E-3</v>
      </c>
      <c r="AB31" s="13">
        <f t="shared" si="7"/>
        <v>-1.045665337601509E-2</v>
      </c>
      <c r="AC31" s="13">
        <f t="shared" si="8"/>
        <v>2.439675645730888E-2</v>
      </c>
      <c r="AD31">
        <v>2</v>
      </c>
      <c r="AE31" t="s">
        <v>11</v>
      </c>
      <c r="AF31" t="s">
        <v>68</v>
      </c>
    </row>
    <row r="32" spans="1:32" x14ac:dyDescent="0.3">
      <c r="A32" s="1" t="s">
        <v>106</v>
      </c>
      <c r="B32" s="1">
        <v>504</v>
      </c>
      <c r="C32" s="1" t="s">
        <v>87</v>
      </c>
      <c r="D32" s="8">
        <v>346.53</v>
      </c>
      <c r="E32" s="8">
        <v>0.40200000000000002</v>
      </c>
      <c r="F32" s="8">
        <v>-0.26900000000000002</v>
      </c>
      <c r="G32" t="s">
        <v>37</v>
      </c>
      <c r="H32">
        <v>504</v>
      </c>
      <c r="I32" s="5" t="s">
        <v>14</v>
      </c>
      <c r="J32" s="11">
        <v>346.53</v>
      </c>
      <c r="K32" s="11">
        <v>0.40200000000000002</v>
      </c>
      <c r="L32" s="11">
        <v>-0.26900000000000002</v>
      </c>
      <c r="M32" s="13"/>
      <c r="N32" s="13"/>
      <c r="O32" s="13"/>
      <c r="P32" s="13"/>
      <c r="Q32">
        <v>2</v>
      </c>
      <c r="R32" t="s">
        <v>11</v>
      </c>
      <c r="T32" t="s">
        <v>37</v>
      </c>
      <c r="U32">
        <v>50504</v>
      </c>
      <c r="V32" t="s">
        <v>71</v>
      </c>
      <c r="W32" s="11">
        <v>346.55381252147941</v>
      </c>
      <c r="X32" s="11">
        <v>0.36559008475043292</v>
      </c>
      <c r="Y32" s="11">
        <v>-0.25436498004466152</v>
      </c>
      <c r="Z32" s="13">
        <f t="shared" si="5"/>
        <v>-2.3812521479442239E-2</v>
      </c>
      <c r="AA32" s="13">
        <f t="shared" si="6"/>
        <v>3.6409915249567104E-2</v>
      </c>
      <c r="AB32" s="13">
        <f t="shared" si="7"/>
        <v>-1.4635019955338502E-2</v>
      </c>
      <c r="AC32" s="13">
        <f t="shared" si="8"/>
        <v>4.590100126122211E-2</v>
      </c>
      <c r="AD32">
        <v>2</v>
      </c>
      <c r="AE32" t="s">
        <v>11</v>
      </c>
      <c r="AF32" t="s">
        <v>68</v>
      </c>
    </row>
    <row r="33" spans="1:32" x14ac:dyDescent="0.3">
      <c r="A33" s="1" t="s">
        <v>106</v>
      </c>
      <c r="B33" s="1">
        <v>505</v>
      </c>
      <c r="C33" s="1" t="s">
        <v>96</v>
      </c>
      <c r="D33" s="8">
        <v>169.94800000000001</v>
      </c>
      <c r="E33" s="8">
        <v>0.48299999999999998</v>
      </c>
      <c r="F33" s="8">
        <v>174.83199999999999</v>
      </c>
      <c r="G33" t="s">
        <v>37</v>
      </c>
      <c r="H33">
        <v>505</v>
      </c>
      <c r="I33" s="5" t="s">
        <v>15</v>
      </c>
      <c r="J33" s="11">
        <v>169.94800000000001</v>
      </c>
      <c r="K33" s="11">
        <v>0.48299999999999998</v>
      </c>
      <c r="L33" s="11">
        <v>174.83199999999999</v>
      </c>
      <c r="M33" s="13"/>
      <c r="N33" s="13"/>
      <c r="O33" s="13"/>
      <c r="P33" s="13"/>
      <c r="Q33">
        <v>2</v>
      </c>
      <c r="R33" t="s">
        <v>11</v>
      </c>
      <c r="T33" t="s">
        <v>37</v>
      </c>
      <c r="U33">
        <v>50505</v>
      </c>
      <c r="V33" t="s">
        <v>72</v>
      </c>
      <c r="W33" s="11">
        <v>169.96122068213481</v>
      </c>
      <c r="X33" s="11">
        <v>0.51605213211074996</v>
      </c>
      <c r="Y33" s="11">
        <v>174.85857619748509</v>
      </c>
      <c r="Z33" s="13">
        <f t="shared" si="5"/>
        <v>-1.3220682134800654E-2</v>
      </c>
      <c r="AA33" s="13">
        <f t="shared" si="6"/>
        <v>-3.3052132110749977E-2</v>
      </c>
      <c r="AB33" s="13">
        <f t="shared" si="7"/>
        <v>-2.6576197485098874E-2</v>
      </c>
      <c r="AC33" s="13">
        <f t="shared" si="8"/>
        <v>4.4424364327955018E-2</v>
      </c>
      <c r="AD33">
        <v>2</v>
      </c>
      <c r="AE33" t="s">
        <v>11</v>
      </c>
      <c r="AF33" t="s">
        <v>68</v>
      </c>
    </row>
    <row r="34" spans="1:32" x14ac:dyDescent="0.3">
      <c r="A34" s="1" t="s">
        <v>106</v>
      </c>
      <c r="B34" s="1">
        <v>116</v>
      </c>
      <c r="C34" s="1" t="s">
        <v>81</v>
      </c>
      <c r="D34" s="8">
        <v>1011.271</v>
      </c>
      <c r="E34" s="8">
        <v>-626.67700000000002</v>
      </c>
      <c r="F34" s="8">
        <v>-1135.175</v>
      </c>
      <c r="G34" t="s">
        <v>37</v>
      </c>
      <c r="H34">
        <v>50116</v>
      </c>
      <c r="I34" t="s">
        <v>22</v>
      </c>
      <c r="J34" s="11">
        <v>1011.350610968813</v>
      </c>
      <c r="K34" s="11">
        <v>-626.22125956112268</v>
      </c>
      <c r="L34" s="11">
        <v>-1135.433351407564</v>
      </c>
      <c r="M34" s="13">
        <f t="shared" si="1"/>
        <v>-7.9610968813085492E-2</v>
      </c>
      <c r="N34" s="13">
        <f t="shared" si="2"/>
        <v>-0.45574043887734206</v>
      </c>
      <c r="O34" s="13">
        <f t="shared" si="3"/>
        <v>0.25835140756407782</v>
      </c>
      <c r="P34" s="13">
        <f t="shared" si="4"/>
        <v>0.52988933162860585</v>
      </c>
      <c r="Q34">
        <v>2</v>
      </c>
      <c r="R34" t="s">
        <v>23</v>
      </c>
      <c r="S34" t="s">
        <v>18</v>
      </c>
      <c r="T34" t="s">
        <v>37</v>
      </c>
      <c r="U34">
        <v>50116</v>
      </c>
      <c r="V34" t="s">
        <v>22</v>
      </c>
      <c r="W34" s="11">
        <v>1011.370196555475</v>
      </c>
      <c r="X34" s="11">
        <v>-626.44632231652918</v>
      </c>
      <c r="Y34" s="11">
        <v>-1135.297921804563</v>
      </c>
      <c r="Z34" s="13">
        <f t="shared" si="5"/>
        <v>-9.9196555475032255E-2</v>
      </c>
      <c r="AA34" s="13">
        <f t="shared" si="6"/>
        <v>-0.23067768347084439</v>
      </c>
      <c r="AB34" s="13">
        <f t="shared" si="7"/>
        <v>0.12292180456302049</v>
      </c>
      <c r="AC34" s="13">
        <f t="shared" si="8"/>
        <v>0.27957453443869962</v>
      </c>
      <c r="AD34">
        <v>2</v>
      </c>
      <c r="AE34" t="s">
        <v>23</v>
      </c>
      <c r="AF34" t="s">
        <v>68</v>
      </c>
    </row>
    <row r="35" spans="1:32" x14ac:dyDescent="0.3">
      <c r="A35" s="1" t="s">
        <v>106</v>
      </c>
      <c r="B35" s="1">
        <v>121</v>
      </c>
      <c r="C35" s="1" t="s">
        <v>93</v>
      </c>
      <c r="D35" s="8">
        <v>635.34199999999998</v>
      </c>
      <c r="E35" s="8">
        <v>-99.668000000000006</v>
      </c>
      <c r="F35" s="8">
        <v>96.024000000000001</v>
      </c>
      <c r="G35" t="s">
        <v>37</v>
      </c>
      <c r="H35">
        <v>50121</v>
      </c>
      <c r="I35" t="s">
        <v>24</v>
      </c>
      <c r="J35" s="11">
        <v>635.32123654840598</v>
      </c>
      <c r="K35" s="11">
        <v>-99.701950737699534</v>
      </c>
      <c r="L35" s="11">
        <v>95.98691628198597</v>
      </c>
      <c r="M35" s="13">
        <f t="shared" si="1"/>
        <v>2.0763451594007165E-2</v>
      </c>
      <c r="N35" s="13">
        <f t="shared" si="2"/>
        <v>3.3950737699527167E-2</v>
      </c>
      <c r="O35" s="13">
        <f t="shared" si="3"/>
        <v>3.7083718014031319E-2</v>
      </c>
      <c r="P35" s="13">
        <f t="shared" si="4"/>
        <v>5.4396467295063977E-2</v>
      </c>
      <c r="Q35">
        <v>2</v>
      </c>
      <c r="R35" t="s">
        <v>23</v>
      </c>
      <c r="S35" t="s">
        <v>18</v>
      </c>
      <c r="T35" t="s">
        <v>37</v>
      </c>
      <c r="U35">
        <v>50121</v>
      </c>
      <c r="V35" t="s">
        <v>24</v>
      </c>
      <c r="W35" s="11">
        <v>635.33704939317272</v>
      </c>
      <c r="X35" s="11">
        <v>-99.697308390075094</v>
      </c>
      <c r="Y35" s="11">
        <v>96.022953203337707</v>
      </c>
      <c r="Z35" s="13">
        <f t="shared" si="5"/>
        <v>4.9506068272648918E-3</v>
      </c>
      <c r="AA35" s="13">
        <f t="shared" si="6"/>
        <v>2.9308390075087232E-2</v>
      </c>
      <c r="AB35" s="13">
        <f t="shared" si="7"/>
        <v>1.0467966622940139E-3</v>
      </c>
      <c r="AC35" s="13">
        <f t="shared" si="8"/>
        <v>2.9741990854746481E-2</v>
      </c>
      <c r="AD35">
        <v>2</v>
      </c>
      <c r="AE35" t="s">
        <v>23</v>
      </c>
      <c r="AF35" t="s">
        <v>68</v>
      </c>
    </row>
    <row r="36" spans="1:32" x14ac:dyDescent="0.3">
      <c r="A36" s="1" t="s">
        <v>106</v>
      </c>
      <c r="B36" s="1">
        <v>13</v>
      </c>
      <c r="C36" s="1" t="s">
        <v>80</v>
      </c>
      <c r="D36" s="8">
        <v>279.892</v>
      </c>
      <c r="E36" s="8">
        <v>3.6779999999999999</v>
      </c>
      <c r="F36" s="8">
        <v>200.542</v>
      </c>
      <c r="G36" t="s">
        <v>37</v>
      </c>
      <c r="H36">
        <v>50013</v>
      </c>
      <c r="I36" t="s">
        <v>25</v>
      </c>
      <c r="J36" s="11">
        <v>279.89552616508718</v>
      </c>
      <c r="K36" s="11">
        <v>3.6422105361949568</v>
      </c>
      <c r="L36" s="11">
        <v>200.56213529953581</v>
      </c>
      <c r="M36" s="13">
        <f t="shared" si="1"/>
        <v>-3.5261650871802885E-3</v>
      </c>
      <c r="N36" s="13">
        <f t="shared" si="2"/>
        <v>3.5789463805043109E-2</v>
      </c>
      <c r="O36" s="13">
        <f t="shared" si="3"/>
        <v>-2.0135299535809281E-2</v>
      </c>
      <c r="P36" s="13">
        <f t="shared" si="4"/>
        <v>4.1215893136887151E-2</v>
      </c>
      <c r="Q36">
        <v>2</v>
      </c>
      <c r="R36" t="s">
        <v>23</v>
      </c>
      <c r="S36" t="s">
        <v>18</v>
      </c>
      <c r="T36" t="s">
        <v>37</v>
      </c>
      <c r="U36">
        <v>50013</v>
      </c>
      <c r="V36" t="s">
        <v>25</v>
      </c>
      <c r="W36" s="11">
        <v>279.91080594610889</v>
      </c>
      <c r="X36" s="11">
        <v>3.665185451718314</v>
      </c>
      <c r="Y36" s="11">
        <v>200.5782402020059</v>
      </c>
      <c r="Z36" s="13">
        <f t="shared" si="5"/>
        <v>-1.8805946108898297E-2</v>
      </c>
      <c r="AA36" s="13">
        <f t="shared" si="6"/>
        <v>1.2814548281685934E-2</v>
      </c>
      <c r="AB36" s="13">
        <f t="shared" si="7"/>
        <v>-3.6240202005899391E-2</v>
      </c>
      <c r="AC36" s="13">
        <f t="shared" si="8"/>
        <v>4.279285569044021E-2</v>
      </c>
      <c r="AD36">
        <v>2</v>
      </c>
      <c r="AE36" t="s">
        <v>23</v>
      </c>
      <c r="AF36" t="s">
        <v>68</v>
      </c>
    </row>
    <row r="37" spans="1:32" x14ac:dyDescent="0.3">
      <c r="A37" s="1" t="s">
        <v>106</v>
      </c>
      <c r="B37" s="1">
        <v>34</v>
      </c>
      <c r="C37" s="1" t="s">
        <v>74</v>
      </c>
      <c r="D37" s="8">
        <v>757.74699999999996</v>
      </c>
      <c r="E37" s="8">
        <v>-95.62</v>
      </c>
      <c r="F37" s="8">
        <v>-665.85400000000004</v>
      </c>
      <c r="G37" t="s">
        <v>37</v>
      </c>
      <c r="H37">
        <v>50034</v>
      </c>
      <c r="I37" t="s">
        <v>26</v>
      </c>
      <c r="J37" s="11">
        <v>757.70909916091796</v>
      </c>
      <c r="K37" s="11">
        <v>-95.446831376411623</v>
      </c>
      <c r="L37" s="11">
        <v>-665.88792796991754</v>
      </c>
      <c r="M37" s="13">
        <f t="shared" si="1"/>
        <v>3.7900839081999038E-2</v>
      </c>
      <c r="N37" s="13">
        <f t="shared" si="2"/>
        <v>-0.17316862358838137</v>
      </c>
      <c r="O37" s="13">
        <f t="shared" si="3"/>
        <v>3.3927969917499468E-2</v>
      </c>
      <c r="P37" s="13">
        <f t="shared" si="4"/>
        <v>0.18048532611084162</v>
      </c>
      <c r="Q37">
        <v>2</v>
      </c>
      <c r="R37" t="s">
        <v>23</v>
      </c>
      <c r="S37" t="s">
        <v>18</v>
      </c>
      <c r="T37" t="s">
        <v>37</v>
      </c>
      <c r="U37">
        <v>50034</v>
      </c>
      <c r="V37" t="s">
        <v>26</v>
      </c>
      <c r="W37" s="11">
        <v>757.72604911683925</v>
      </c>
      <c r="X37" s="11">
        <v>-95.584712464292522</v>
      </c>
      <c r="Y37" s="11">
        <v>-665.85249105306525</v>
      </c>
      <c r="Z37" s="13">
        <f t="shared" si="5"/>
        <v>2.0950883160708145E-2</v>
      </c>
      <c r="AA37" s="13">
        <f t="shared" si="6"/>
        <v>-3.528753570748222E-2</v>
      </c>
      <c r="AB37" s="13">
        <f t="shared" si="7"/>
        <v>-1.5089469347913109E-3</v>
      </c>
      <c r="AC37" s="13">
        <f t="shared" si="8"/>
        <v>4.1066124754747593E-2</v>
      </c>
      <c r="AD37">
        <v>2</v>
      </c>
      <c r="AE37" t="s">
        <v>23</v>
      </c>
      <c r="AF37" t="s">
        <v>68</v>
      </c>
    </row>
    <row r="38" spans="1:32" x14ac:dyDescent="0.3">
      <c r="A38" s="1" t="s">
        <v>106</v>
      </c>
      <c r="B38" s="1">
        <v>37</v>
      </c>
      <c r="C38" s="1" t="s">
        <v>79</v>
      </c>
      <c r="D38" s="8">
        <v>33.308999999999997</v>
      </c>
      <c r="E38" s="8">
        <v>-98.590999999999994</v>
      </c>
      <c r="F38" s="8">
        <v>-390.87799999999999</v>
      </c>
      <c r="G38" t="s">
        <v>37</v>
      </c>
      <c r="H38">
        <v>50037</v>
      </c>
      <c r="I38" t="s">
        <v>27</v>
      </c>
      <c r="J38" s="11">
        <v>33.278664430854427</v>
      </c>
      <c r="K38" s="11">
        <v>-98.494667848819404</v>
      </c>
      <c r="L38" s="11">
        <v>-390.94606372618631</v>
      </c>
      <c r="M38" s="13">
        <f t="shared" si="1"/>
        <v>3.0335569145570673E-2</v>
      </c>
      <c r="N38" s="13">
        <f t="shared" si="2"/>
        <v>-9.6332151180590131E-2</v>
      </c>
      <c r="O38" s="13">
        <f t="shared" si="3"/>
        <v>6.8063726186323947E-2</v>
      </c>
      <c r="P38" s="13">
        <f t="shared" si="4"/>
        <v>0.12178998698100207</v>
      </c>
      <c r="Q38">
        <v>2</v>
      </c>
      <c r="R38" t="s">
        <v>23</v>
      </c>
      <c r="S38" t="s">
        <v>18</v>
      </c>
      <c r="T38" t="s">
        <v>37</v>
      </c>
      <c r="U38">
        <v>50037</v>
      </c>
      <c r="V38" t="s">
        <v>27</v>
      </c>
      <c r="W38" s="11">
        <v>33.295209522181018</v>
      </c>
      <c r="X38" s="11">
        <v>-98.583583473757372</v>
      </c>
      <c r="Y38" s="11">
        <v>-390.91115512662122</v>
      </c>
      <c r="Z38" s="13">
        <f t="shared" si="5"/>
        <v>1.3790477818979241E-2</v>
      </c>
      <c r="AA38" s="13">
        <f t="shared" si="6"/>
        <v>-7.4165262426220124E-3</v>
      </c>
      <c r="AB38" s="13">
        <f t="shared" si="7"/>
        <v>3.3155126621238651E-2</v>
      </c>
      <c r="AC38" s="13">
        <f t="shared" si="8"/>
        <v>3.6666668259519128E-2</v>
      </c>
      <c r="AD38">
        <v>2</v>
      </c>
      <c r="AE38" t="s">
        <v>23</v>
      </c>
      <c r="AF38" t="s">
        <v>68</v>
      </c>
    </row>
    <row r="39" spans="1:32" x14ac:dyDescent="0.3">
      <c r="A39" s="1" t="s">
        <v>106</v>
      </c>
      <c r="B39" s="1">
        <v>4</v>
      </c>
      <c r="C39" s="1" t="s">
        <v>88</v>
      </c>
      <c r="D39" s="8">
        <v>1045.181</v>
      </c>
      <c r="E39" s="8">
        <v>-514.24400000000003</v>
      </c>
      <c r="F39" s="8">
        <v>-1105.1279999999999</v>
      </c>
      <c r="G39" t="s">
        <v>37</v>
      </c>
      <c r="H39">
        <v>50004</v>
      </c>
      <c r="I39" t="s">
        <v>29</v>
      </c>
      <c r="J39" s="11">
        <v>1045.2040909032471</v>
      </c>
      <c r="K39" s="11">
        <v>-513.99816065518439</v>
      </c>
      <c r="L39" s="11">
        <v>-1105.29867084435</v>
      </c>
      <c r="M39" s="13">
        <f t="shared" si="1"/>
        <v>-2.3090903247066308E-2</v>
      </c>
      <c r="N39" s="13">
        <f t="shared" si="2"/>
        <v>-0.24583934481563574</v>
      </c>
      <c r="O39" s="13">
        <f t="shared" si="3"/>
        <v>0.17067084435007018</v>
      </c>
      <c r="P39" s="13">
        <f t="shared" si="4"/>
        <v>0.3001644722203351</v>
      </c>
      <c r="Q39">
        <v>2</v>
      </c>
      <c r="R39" t="s">
        <v>23</v>
      </c>
      <c r="S39" t="s">
        <v>18</v>
      </c>
      <c r="T39" t="s">
        <v>37</v>
      </c>
      <c r="U39">
        <v>50004</v>
      </c>
      <c r="V39" t="s">
        <v>29</v>
      </c>
      <c r="W39" s="11">
        <v>1045.2232238279271</v>
      </c>
      <c r="X39" s="11">
        <v>-514.21744774531157</v>
      </c>
      <c r="Y39" s="11">
        <v>-1105.18424947224</v>
      </c>
      <c r="Z39" s="13">
        <f t="shared" si="5"/>
        <v>-4.2223827927045932E-2</v>
      </c>
      <c r="AA39" s="13">
        <f t="shared" si="6"/>
        <v>-2.6552254688454013E-2</v>
      </c>
      <c r="AB39" s="13">
        <f t="shared" si="7"/>
        <v>5.624947224009702E-2</v>
      </c>
      <c r="AC39" s="13">
        <f t="shared" si="8"/>
        <v>7.5178966480943035E-2</v>
      </c>
      <c r="AD39">
        <v>2</v>
      </c>
      <c r="AE39" t="s">
        <v>23</v>
      </c>
      <c r="AF39" t="s">
        <v>68</v>
      </c>
    </row>
    <row r="40" spans="1:32" x14ac:dyDescent="0.3">
      <c r="A40" s="1" t="s">
        <v>106</v>
      </c>
      <c r="B40" s="1">
        <v>42</v>
      </c>
      <c r="C40" s="1" t="s">
        <v>90</v>
      </c>
      <c r="D40" s="8">
        <v>1083.1510000000001</v>
      </c>
      <c r="E40" s="8">
        <v>-97.736999999999995</v>
      </c>
      <c r="F40" s="8">
        <v>-356.60300000000001</v>
      </c>
      <c r="G40" t="s">
        <v>37</v>
      </c>
      <c r="H40">
        <v>50042</v>
      </c>
      <c r="I40" t="s">
        <v>28</v>
      </c>
      <c r="J40" s="11">
        <v>1083.1574660491469</v>
      </c>
      <c r="K40" s="11">
        <v>-97.600404797144833</v>
      </c>
      <c r="L40" s="11">
        <v>-356.6628939917386</v>
      </c>
      <c r="M40" s="13">
        <f t="shared" si="1"/>
        <v>-6.466049146865771E-3</v>
      </c>
      <c r="N40" s="13">
        <f t="shared" si="2"/>
        <v>-0.1365952028551618</v>
      </c>
      <c r="O40" s="13">
        <f t="shared" si="3"/>
        <v>5.9893991738590557E-2</v>
      </c>
      <c r="P40" s="13">
        <f t="shared" si="4"/>
        <v>0.14928948215127161</v>
      </c>
      <c r="Q40">
        <v>2</v>
      </c>
      <c r="R40" t="s">
        <v>23</v>
      </c>
      <c r="S40" t="s">
        <v>18</v>
      </c>
      <c r="T40" t="s">
        <v>37</v>
      </c>
      <c r="U40">
        <v>50042</v>
      </c>
      <c r="V40" t="s">
        <v>28</v>
      </c>
      <c r="W40" s="11">
        <v>1083.173956025742</v>
      </c>
      <c r="X40" s="11">
        <v>-97.679078535906314</v>
      </c>
      <c r="Y40" s="11">
        <v>-356.62656628789898</v>
      </c>
      <c r="Z40" s="13">
        <f t="shared" si="5"/>
        <v>-2.295602574190525E-2</v>
      </c>
      <c r="AA40" s="13">
        <f t="shared" si="6"/>
        <v>-5.7921464093681152E-2</v>
      </c>
      <c r="AB40" s="13">
        <f t="shared" si="7"/>
        <v>2.356628789897286E-2</v>
      </c>
      <c r="AC40" s="13">
        <f t="shared" si="8"/>
        <v>6.6612649293928294E-2</v>
      </c>
      <c r="AD40">
        <v>2</v>
      </c>
      <c r="AE40" t="s">
        <v>23</v>
      </c>
      <c r="AF40" t="s">
        <v>68</v>
      </c>
    </row>
    <row r="41" spans="1:32" x14ac:dyDescent="0.3">
      <c r="A41" s="1" t="s">
        <v>106</v>
      </c>
      <c r="B41" s="1">
        <v>506</v>
      </c>
      <c r="C41" s="1" t="s">
        <v>82</v>
      </c>
      <c r="D41" s="8">
        <v>1148.463</v>
      </c>
      <c r="E41" s="8">
        <v>-24.542000000000002</v>
      </c>
      <c r="F41" s="8">
        <v>-460.71100000000001</v>
      </c>
      <c r="G41" t="s">
        <v>37</v>
      </c>
      <c r="H41">
        <v>50506</v>
      </c>
      <c r="I41" t="s">
        <v>30</v>
      </c>
      <c r="J41" s="11">
        <v>1148.515123447715</v>
      </c>
      <c r="K41" s="11">
        <v>-24.376494151470581</v>
      </c>
      <c r="L41" s="11">
        <v>-460.75722303043182</v>
      </c>
      <c r="M41" s="13">
        <f t="shared" si="1"/>
        <v>-5.2123447715075599E-2</v>
      </c>
      <c r="N41" s="13">
        <f t="shared" si="2"/>
        <v>-0.16550584852942052</v>
      </c>
      <c r="O41" s="13">
        <f t="shared" si="3"/>
        <v>4.6223030431804091E-2</v>
      </c>
      <c r="P41" s="13">
        <f t="shared" si="4"/>
        <v>0.17957062187743628</v>
      </c>
      <c r="Q41">
        <v>2</v>
      </c>
      <c r="R41" t="s">
        <v>23</v>
      </c>
      <c r="S41" t="s">
        <v>18</v>
      </c>
      <c r="T41" t="s">
        <v>37</v>
      </c>
      <c r="U41">
        <v>50506</v>
      </c>
      <c r="V41" t="s">
        <v>30</v>
      </c>
      <c r="W41" s="11">
        <v>1148.5315052851579</v>
      </c>
      <c r="X41" s="11">
        <v>-24.474465594458689</v>
      </c>
      <c r="Y41" s="11">
        <v>-460.73453528060321</v>
      </c>
      <c r="Z41" s="13">
        <f t="shared" si="5"/>
        <v>-6.8505285157925755E-2</v>
      </c>
      <c r="AA41" s="13">
        <f t="shared" si="6"/>
        <v>-6.7534405541312736E-2</v>
      </c>
      <c r="AB41" s="13">
        <f t="shared" si="7"/>
        <v>2.3535280603198316E-2</v>
      </c>
      <c r="AC41" s="13">
        <f t="shared" si="8"/>
        <v>9.9034233775288527E-2</v>
      </c>
      <c r="AD41">
        <v>2</v>
      </c>
      <c r="AE41" t="s">
        <v>23</v>
      </c>
      <c r="AF41" t="s">
        <v>68</v>
      </c>
    </row>
    <row r="42" spans="1:32" x14ac:dyDescent="0.3">
      <c r="A42" s="1" t="s">
        <v>106</v>
      </c>
      <c r="B42" s="1">
        <v>507</v>
      </c>
      <c r="C42" s="1" t="s">
        <v>83</v>
      </c>
      <c r="D42" s="8">
        <v>676.65599999999995</v>
      </c>
      <c r="E42" s="8">
        <v>-28.683</v>
      </c>
      <c r="F42" s="8">
        <v>-1094.057</v>
      </c>
      <c r="G42" t="s">
        <v>37</v>
      </c>
      <c r="H42">
        <v>50507</v>
      </c>
      <c r="I42" t="s">
        <v>31</v>
      </c>
      <c r="J42" s="11">
        <v>676.52607087461433</v>
      </c>
      <c r="K42" s="11">
        <v>-28.481944616781131</v>
      </c>
      <c r="L42" s="11">
        <v>-1093.967777925968</v>
      </c>
      <c r="M42" s="13">
        <f t="shared" si="1"/>
        <v>0.12992912538561541</v>
      </c>
      <c r="N42" s="13">
        <f t="shared" si="2"/>
        <v>-0.2010553832188684</v>
      </c>
      <c r="O42" s="13">
        <f t="shared" si="3"/>
        <v>-8.9222074032022647E-2</v>
      </c>
      <c r="P42" s="13">
        <f t="shared" si="4"/>
        <v>0.25547098316508027</v>
      </c>
      <c r="Q42">
        <v>2</v>
      </c>
      <c r="R42" t="s">
        <v>23</v>
      </c>
      <c r="S42" t="s">
        <v>18</v>
      </c>
      <c r="T42" t="s">
        <v>37</v>
      </c>
      <c r="U42">
        <v>50507</v>
      </c>
      <c r="V42" t="s">
        <v>31</v>
      </c>
      <c r="W42" s="11">
        <v>676.54342551425839</v>
      </c>
      <c r="X42" s="11">
        <v>-28.700451429727739</v>
      </c>
      <c r="Y42" s="11">
        <v>-1093.9450223237261</v>
      </c>
      <c r="Z42" s="13">
        <f t="shared" si="5"/>
        <v>0.11257448574156115</v>
      </c>
      <c r="AA42" s="13">
        <f t="shared" si="6"/>
        <v>1.7451429727739054E-2</v>
      </c>
      <c r="AB42" s="13">
        <f t="shared" si="7"/>
        <v>-0.11197767627390931</v>
      </c>
      <c r="AC42" s="13">
        <f t="shared" si="8"/>
        <v>0.15973905979197325</v>
      </c>
      <c r="AD42">
        <v>2</v>
      </c>
      <c r="AE42" t="s">
        <v>23</v>
      </c>
      <c r="AF42" t="s">
        <v>68</v>
      </c>
    </row>
    <row r="43" spans="1:32" x14ac:dyDescent="0.3">
      <c r="A43" s="1" t="s">
        <v>106</v>
      </c>
      <c r="B43" s="1">
        <v>509</v>
      </c>
      <c r="C43" s="1" t="s">
        <v>97</v>
      </c>
      <c r="D43" s="8">
        <v>487.75099999999998</v>
      </c>
      <c r="E43" s="8">
        <v>-400.74</v>
      </c>
      <c r="F43" s="8">
        <v>439.70100000000002</v>
      </c>
      <c r="G43" t="s">
        <v>37</v>
      </c>
      <c r="H43">
        <v>50509</v>
      </c>
      <c r="I43" t="s">
        <v>32</v>
      </c>
      <c r="J43" s="11">
        <v>487.72591729858891</v>
      </c>
      <c r="K43" s="11">
        <v>-401.06782961138993</v>
      </c>
      <c r="L43" s="11">
        <v>439.55374487235332</v>
      </c>
      <c r="M43" s="13">
        <f t="shared" si="1"/>
        <v>2.50827014110655E-2</v>
      </c>
      <c r="N43" s="13">
        <f t="shared" si="2"/>
        <v>0.32782961138991595</v>
      </c>
      <c r="O43" s="13">
        <f t="shared" si="3"/>
        <v>0.14725512764670157</v>
      </c>
      <c r="P43" s="13">
        <f t="shared" si="4"/>
        <v>0.36025750322843569</v>
      </c>
      <c r="Q43">
        <v>2</v>
      </c>
      <c r="R43" t="s">
        <v>23</v>
      </c>
      <c r="S43" t="s">
        <v>18</v>
      </c>
      <c r="T43" t="s">
        <v>37</v>
      </c>
      <c r="U43">
        <v>50509</v>
      </c>
      <c r="V43" t="s">
        <v>32</v>
      </c>
      <c r="W43" s="11">
        <v>487.74230356981661</v>
      </c>
      <c r="X43" s="11">
        <v>-400.99924637652032</v>
      </c>
      <c r="Y43" s="11">
        <v>439.64610447862822</v>
      </c>
      <c r="Z43" s="13">
        <f t="shared" si="5"/>
        <v>8.6964301833631907E-3</v>
      </c>
      <c r="AA43" s="13">
        <f t="shared" si="6"/>
        <v>0.25924637652030924</v>
      </c>
      <c r="AB43" s="13">
        <f t="shared" si="7"/>
        <v>5.4895521371804534E-2</v>
      </c>
      <c r="AC43" s="13">
        <f t="shared" si="8"/>
        <v>0.26513737930274245</v>
      </c>
      <c r="AD43">
        <v>2</v>
      </c>
      <c r="AE43" t="s">
        <v>23</v>
      </c>
      <c r="AF43" t="s">
        <v>68</v>
      </c>
    </row>
    <row r="44" spans="1:32" x14ac:dyDescent="0.3">
      <c r="A44" s="1" t="s">
        <v>106</v>
      </c>
      <c r="B44" s="1">
        <v>57</v>
      </c>
      <c r="C44" s="1" t="s">
        <v>91</v>
      </c>
      <c r="D44" s="8">
        <v>381.60700000000003</v>
      </c>
      <c r="E44" s="8">
        <v>-99.135000000000005</v>
      </c>
      <c r="F44" s="8">
        <v>-132.245</v>
      </c>
      <c r="G44" t="s">
        <v>37</v>
      </c>
      <c r="H44">
        <v>50057</v>
      </c>
      <c r="I44" t="s">
        <v>33</v>
      </c>
      <c r="J44" s="11">
        <v>381.59380099024008</v>
      </c>
      <c r="K44" s="11">
        <v>-99.094833941932833</v>
      </c>
      <c r="L44" s="11">
        <v>-132.29194151525539</v>
      </c>
      <c r="M44" s="13">
        <f t="shared" si="1"/>
        <v>1.3199009759944147E-2</v>
      </c>
      <c r="N44" s="13">
        <f t="shared" si="2"/>
        <v>-4.0166058067171662E-2</v>
      </c>
      <c r="O44" s="13">
        <f t="shared" si="3"/>
        <v>4.6941515255383592E-2</v>
      </c>
      <c r="P44" s="13">
        <f t="shared" si="4"/>
        <v>6.3174614630956916E-2</v>
      </c>
      <c r="Q44">
        <v>2</v>
      </c>
      <c r="R44" t="s">
        <v>23</v>
      </c>
      <c r="S44" t="s">
        <v>18</v>
      </c>
      <c r="T44" t="s">
        <v>37</v>
      </c>
      <c r="U44">
        <v>50057</v>
      </c>
      <c r="V44" t="s">
        <v>33</v>
      </c>
      <c r="W44" s="11">
        <v>381.6099569698095</v>
      </c>
      <c r="X44" s="11">
        <v>-99.133949025333038</v>
      </c>
      <c r="Y44" s="11">
        <v>-132.2563981615028</v>
      </c>
      <c r="Z44" s="13">
        <f t="shared" si="5"/>
        <v>-2.9569698094746855E-3</v>
      </c>
      <c r="AA44" s="13">
        <f t="shared" si="6"/>
        <v>-1.0509746669669084E-3</v>
      </c>
      <c r="AB44" s="13">
        <f t="shared" si="7"/>
        <v>1.1398161502796711E-2</v>
      </c>
      <c r="AC44" s="13">
        <f t="shared" si="8"/>
        <v>1.1822279976746784E-2</v>
      </c>
      <c r="AD44">
        <v>2</v>
      </c>
      <c r="AE44" t="s">
        <v>23</v>
      </c>
      <c r="AF44" t="s">
        <v>68</v>
      </c>
    </row>
    <row r="45" spans="1:32" x14ac:dyDescent="0.3">
      <c r="A45" s="1" t="s">
        <v>106</v>
      </c>
      <c r="B45" s="1">
        <v>87</v>
      </c>
      <c r="C45" s="1" t="s">
        <v>86</v>
      </c>
      <c r="D45" s="8">
        <v>1197.931</v>
      </c>
      <c r="E45" s="8">
        <v>-632.94000000000005</v>
      </c>
      <c r="F45" s="8">
        <v>-975.21799999999996</v>
      </c>
      <c r="G45" t="s">
        <v>37</v>
      </c>
      <c r="H45">
        <v>50087</v>
      </c>
      <c r="I45" t="s">
        <v>34</v>
      </c>
      <c r="J45" s="11">
        <v>1197.930595862706</v>
      </c>
      <c r="K45" s="11">
        <v>-632.62342142235798</v>
      </c>
      <c r="L45" s="11">
        <v>-975.3665452662301</v>
      </c>
      <c r="M45" s="13">
        <f t="shared" si="1"/>
        <v>4.0413729402644094E-4</v>
      </c>
      <c r="N45" s="13">
        <f t="shared" si="2"/>
        <v>-0.3165785776420762</v>
      </c>
      <c r="O45" s="13">
        <f t="shared" si="3"/>
        <v>0.14854526623014408</v>
      </c>
      <c r="P45" s="13">
        <f t="shared" si="4"/>
        <v>0.34969680477267284</v>
      </c>
      <c r="Q45">
        <v>2</v>
      </c>
      <c r="R45" t="s">
        <v>23</v>
      </c>
      <c r="S45" t="s">
        <v>18</v>
      </c>
      <c r="T45" t="s">
        <v>37</v>
      </c>
      <c r="U45">
        <v>50087</v>
      </c>
      <c r="V45" t="s">
        <v>34</v>
      </c>
      <c r="W45" s="11">
        <v>1197.949962525498</v>
      </c>
      <c r="X45" s="11">
        <v>-632.81777036053836</v>
      </c>
      <c r="Y45" s="11">
        <v>-975.22963497614842</v>
      </c>
      <c r="Z45" s="13">
        <f t="shared" si="5"/>
        <v>-1.896252549795463E-2</v>
      </c>
      <c r="AA45" s="13">
        <f t="shared" si="6"/>
        <v>-0.1222296394616933</v>
      </c>
      <c r="AB45" s="13">
        <f t="shared" si="7"/>
        <v>1.1634976148457099E-2</v>
      </c>
      <c r="AC45" s="13">
        <f t="shared" si="8"/>
        <v>0.12423781552398319</v>
      </c>
      <c r="AD45">
        <v>2</v>
      </c>
      <c r="AE45" t="s">
        <v>23</v>
      </c>
      <c r="AF45" t="s">
        <v>68</v>
      </c>
    </row>
    <row r="46" spans="1:32" x14ac:dyDescent="0.3">
      <c r="A46" s="1" t="s">
        <v>106</v>
      </c>
      <c r="B46" s="1">
        <v>92</v>
      </c>
      <c r="C46" s="1" t="s">
        <v>92</v>
      </c>
      <c r="D46" s="8">
        <v>532.50900000000001</v>
      </c>
      <c r="E46" s="8">
        <v>-95.275000000000006</v>
      </c>
      <c r="F46" s="8">
        <v>-862.375</v>
      </c>
      <c r="G46" t="s">
        <v>37</v>
      </c>
      <c r="H46">
        <v>50092</v>
      </c>
      <c r="I46" t="s">
        <v>35</v>
      </c>
      <c r="J46" s="11">
        <v>532.50038160162092</v>
      </c>
      <c r="K46" s="11">
        <v>-95.161699418264377</v>
      </c>
      <c r="L46" s="11">
        <v>-862.41246351009681</v>
      </c>
      <c r="M46" s="13">
        <f t="shared" si="1"/>
        <v>8.618398379098835E-3</v>
      </c>
      <c r="N46" s="13">
        <f t="shared" si="2"/>
        <v>-0.11330058173562918</v>
      </c>
      <c r="O46" s="13">
        <f t="shared" si="3"/>
        <v>3.7463510096813479E-2</v>
      </c>
      <c r="P46" s="13">
        <f t="shared" si="4"/>
        <v>0.11964452850434443</v>
      </c>
      <c r="Q46">
        <v>2</v>
      </c>
      <c r="R46" t="s">
        <v>23</v>
      </c>
      <c r="S46" t="s">
        <v>18</v>
      </c>
      <c r="T46" t="s">
        <v>37</v>
      </c>
      <c r="U46">
        <v>50092</v>
      </c>
      <c r="V46" t="s">
        <v>35</v>
      </c>
      <c r="W46" s="11">
        <v>532.51762782286357</v>
      </c>
      <c r="X46" s="11">
        <v>-95.337275713267246</v>
      </c>
      <c r="Y46" s="11">
        <v>-862.3774171758082</v>
      </c>
      <c r="Z46" s="13">
        <f t="shared" si="5"/>
        <v>-8.6278228635592313E-3</v>
      </c>
      <c r="AA46" s="13">
        <f t="shared" si="6"/>
        <v>6.2275713267240462E-2</v>
      </c>
      <c r="AB46" s="13">
        <f t="shared" si="7"/>
        <v>2.4171758082047745E-3</v>
      </c>
      <c r="AC46" s="13">
        <f t="shared" si="8"/>
        <v>6.2916981246689485E-2</v>
      </c>
      <c r="AD46">
        <v>2</v>
      </c>
      <c r="AE46" t="s">
        <v>23</v>
      </c>
      <c r="AF46" t="s">
        <v>68</v>
      </c>
    </row>
    <row r="47" spans="1:32" x14ac:dyDescent="0.3">
      <c r="A47" s="1" t="s">
        <v>106</v>
      </c>
      <c r="B47" s="1">
        <v>96</v>
      </c>
      <c r="C47" s="1" t="s">
        <v>84</v>
      </c>
      <c r="D47" s="8">
        <v>424.733</v>
      </c>
      <c r="E47" s="8">
        <v>3.5920000000000001</v>
      </c>
      <c r="F47" s="8">
        <v>303.79300000000001</v>
      </c>
      <c r="G47" t="s">
        <v>37</v>
      </c>
      <c r="H47">
        <v>50096</v>
      </c>
      <c r="I47" t="s">
        <v>36</v>
      </c>
      <c r="J47" s="11">
        <v>424.74430053513117</v>
      </c>
      <c r="K47" s="11">
        <v>3.5451925565958322</v>
      </c>
      <c r="L47" s="11">
        <v>303.81727503760288</v>
      </c>
      <c r="M47" s="13">
        <f t="shared" si="1"/>
        <v>-1.1300535131169909E-2</v>
      </c>
      <c r="N47" s="13">
        <f t="shared" si="2"/>
        <v>4.680744340416787E-2</v>
      </c>
      <c r="O47" s="13">
        <f t="shared" si="3"/>
        <v>-2.4275037602876637E-2</v>
      </c>
      <c r="P47" s="13">
        <f t="shared" si="4"/>
        <v>5.3925099006921245E-2</v>
      </c>
      <c r="Q47">
        <v>2</v>
      </c>
      <c r="R47" t="s">
        <v>23</v>
      </c>
      <c r="S47" t="s">
        <v>18</v>
      </c>
      <c r="T47" t="s">
        <v>37</v>
      </c>
      <c r="U47">
        <v>50096</v>
      </c>
      <c r="V47" t="s">
        <v>36</v>
      </c>
      <c r="W47" s="11">
        <v>424.75942446492002</v>
      </c>
      <c r="X47" s="11">
        <v>3.588068968872784</v>
      </c>
      <c r="Y47" s="11">
        <v>303.83361535293938</v>
      </c>
      <c r="Z47" s="13">
        <f t="shared" si="5"/>
        <v>-2.6424464920012269E-2</v>
      </c>
      <c r="AA47" s="13">
        <f t="shared" si="6"/>
        <v>3.9310311272160448E-3</v>
      </c>
      <c r="AB47" s="13">
        <f t="shared" si="7"/>
        <v>-4.0615352939369131E-2</v>
      </c>
      <c r="AC47" s="13">
        <f t="shared" si="8"/>
        <v>4.8613910009601378E-2</v>
      </c>
      <c r="AD47">
        <v>2</v>
      </c>
      <c r="AE47" t="s">
        <v>23</v>
      </c>
      <c r="AF47" t="s">
        <v>68</v>
      </c>
    </row>
    <row r="48" spans="1:32" x14ac:dyDescent="0.3">
      <c r="A48" s="1" t="s">
        <v>107</v>
      </c>
      <c r="B48" s="1">
        <v>1006</v>
      </c>
      <c r="C48" s="1" t="s">
        <v>75</v>
      </c>
      <c r="D48" s="8">
        <v>575.61900000000003</v>
      </c>
      <c r="E48" s="8">
        <v>-53.328000000000003</v>
      </c>
      <c r="F48" s="8">
        <v>347.63600000000002</v>
      </c>
      <c r="G48" t="s">
        <v>39</v>
      </c>
      <c r="H48">
        <v>51008</v>
      </c>
      <c r="I48" t="s">
        <v>16</v>
      </c>
      <c r="J48" s="11">
        <v>575.55618231089613</v>
      </c>
      <c r="K48" s="11">
        <v>-53.190427441264198</v>
      </c>
      <c r="L48" s="11">
        <v>347.61007615083628</v>
      </c>
      <c r="M48" s="13">
        <f t="shared" si="1"/>
        <v>6.2817689103894736E-2</v>
      </c>
      <c r="N48" s="13">
        <f t="shared" si="2"/>
        <v>-0.13757255873580476</v>
      </c>
      <c r="O48" s="13">
        <f t="shared" si="3"/>
        <v>2.5923849163746127E-2</v>
      </c>
      <c r="P48" s="13">
        <f t="shared" si="4"/>
        <v>0.15344157499496247</v>
      </c>
      <c r="Q48">
        <v>3</v>
      </c>
      <c r="R48" t="s">
        <v>17</v>
      </c>
      <c r="S48" t="s">
        <v>18</v>
      </c>
      <c r="T48" t="s">
        <v>39</v>
      </c>
      <c r="U48">
        <v>1006</v>
      </c>
      <c r="V48" s="6" t="s">
        <v>42</v>
      </c>
      <c r="W48" s="11">
        <v>575.61900000000003</v>
      </c>
      <c r="X48" s="11">
        <v>-53.328000000000003</v>
      </c>
      <c r="Y48" s="11">
        <v>347.63600000000002</v>
      </c>
      <c r="Z48" s="13"/>
      <c r="AA48" s="13"/>
      <c r="AB48" s="13"/>
      <c r="AC48" s="13"/>
      <c r="AD48">
        <v>3</v>
      </c>
      <c r="AE48" t="s">
        <v>17</v>
      </c>
    </row>
    <row r="49" spans="1:32" x14ac:dyDescent="0.3">
      <c r="A49" s="1" t="s">
        <v>107</v>
      </c>
      <c r="B49" s="1">
        <v>1019</v>
      </c>
      <c r="C49" s="1" t="s">
        <v>76</v>
      </c>
      <c r="D49" s="8">
        <v>1296.748</v>
      </c>
      <c r="E49" s="8">
        <v>-46.201999999999998</v>
      </c>
      <c r="F49" s="8">
        <v>-489.10899999999998</v>
      </c>
      <c r="G49" t="s">
        <v>39</v>
      </c>
      <c r="H49">
        <v>51011</v>
      </c>
      <c r="I49" t="s">
        <v>19</v>
      </c>
      <c r="J49" s="11">
        <v>1296.7139424484039</v>
      </c>
      <c r="K49" s="11">
        <v>-45.873589459818902</v>
      </c>
      <c r="L49" s="11">
        <v>-489.0056955972081</v>
      </c>
      <c r="M49" s="13">
        <f t="shared" si="1"/>
        <v>3.405755159610635E-2</v>
      </c>
      <c r="N49" s="13">
        <f t="shared" si="2"/>
        <v>-0.32841054018109617</v>
      </c>
      <c r="O49" s="13">
        <f t="shared" si="3"/>
        <v>-0.10330440279187769</v>
      </c>
      <c r="P49" s="13">
        <f t="shared" si="4"/>
        <v>0.34595548753986738</v>
      </c>
      <c r="Q49">
        <v>3</v>
      </c>
      <c r="R49" t="s">
        <v>17</v>
      </c>
      <c r="S49" t="s">
        <v>18</v>
      </c>
      <c r="T49" t="s">
        <v>39</v>
      </c>
      <c r="U49">
        <v>1019</v>
      </c>
      <c r="V49" s="6" t="s">
        <v>43</v>
      </c>
      <c r="W49" s="11">
        <v>1296.748</v>
      </c>
      <c r="X49" s="11">
        <v>-46.201999999999998</v>
      </c>
      <c r="Y49" s="11">
        <v>-489.10899999999998</v>
      </c>
      <c r="Z49" s="13"/>
      <c r="AA49" s="13"/>
      <c r="AB49" s="13"/>
      <c r="AC49" s="13"/>
      <c r="AD49">
        <v>3</v>
      </c>
      <c r="AE49" t="s">
        <v>17</v>
      </c>
    </row>
    <row r="50" spans="1:32" x14ac:dyDescent="0.3">
      <c r="A50" s="1" t="s">
        <v>107</v>
      </c>
      <c r="B50" s="1">
        <v>1033</v>
      </c>
      <c r="C50" s="1" t="s">
        <v>77</v>
      </c>
      <c r="D50" s="8">
        <v>604.67499999999995</v>
      </c>
      <c r="E50" s="8">
        <v>-44.378</v>
      </c>
      <c r="F50" s="8">
        <v>-1114.771</v>
      </c>
      <c r="G50" t="s">
        <v>39</v>
      </c>
      <c r="H50">
        <v>51024</v>
      </c>
      <c r="I50" t="s">
        <v>20</v>
      </c>
      <c r="J50" s="11">
        <v>604.67791341540897</v>
      </c>
      <c r="K50" s="11">
        <v>-44.529139067126152</v>
      </c>
      <c r="L50" s="11">
        <v>-1114.7036307127439</v>
      </c>
      <c r="M50" s="13">
        <f t="shared" si="1"/>
        <v>-2.9134154090115771E-3</v>
      </c>
      <c r="N50" s="13">
        <f t="shared" si="2"/>
        <v>0.15113906712615233</v>
      </c>
      <c r="O50" s="13">
        <f t="shared" si="3"/>
        <v>-6.7369287256042298E-2</v>
      </c>
      <c r="P50" s="13">
        <f t="shared" si="4"/>
        <v>0.16549962678657673</v>
      </c>
      <c r="Q50">
        <v>3</v>
      </c>
      <c r="R50" t="s">
        <v>17</v>
      </c>
      <c r="S50" t="s">
        <v>18</v>
      </c>
      <c r="T50" t="s">
        <v>39</v>
      </c>
      <c r="U50">
        <v>1033</v>
      </c>
      <c r="V50" s="6" t="s">
        <v>44</v>
      </c>
      <c r="W50" s="11">
        <v>604.67499999999995</v>
      </c>
      <c r="X50" s="11">
        <v>-44.378</v>
      </c>
      <c r="Y50" s="11">
        <v>-1114.771</v>
      </c>
      <c r="Z50" s="13"/>
      <c r="AA50" s="13"/>
      <c r="AB50" s="13"/>
      <c r="AC50" s="13"/>
      <c r="AD50">
        <v>3</v>
      </c>
      <c r="AE50" t="s">
        <v>17</v>
      </c>
    </row>
    <row r="51" spans="1:32" x14ac:dyDescent="0.3">
      <c r="A51" s="1" t="s">
        <v>107</v>
      </c>
      <c r="B51" s="1">
        <v>1007</v>
      </c>
      <c r="C51" s="1" t="s">
        <v>78</v>
      </c>
      <c r="D51" s="8">
        <v>-115.661</v>
      </c>
      <c r="E51" s="8">
        <v>-51.561</v>
      </c>
      <c r="F51" s="8">
        <v>-282.916</v>
      </c>
      <c r="G51" t="s">
        <v>39</v>
      </c>
      <c r="H51">
        <v>51003</v>
      </c>
      <c r="I51" t="s">
        <v>21</v>
      </c>
      <c r="J51" s="11">
        <v>-115.6751642739808</v>
      </c>
      <c r="K51" s="11">
        <v>-51.531759195799253</v>
      </c>
      <c r="L51" s="11">
        <v>-282.91671595561297</v>
      </c>
      <c r="M51" s="13">
        <f t="shared" si="1"/>
        <v>1.4164273980796338E-2</v>
      </c>
      <c r="N51" s="13">
        <f t="shared" si="2"/>
        <v>-2.9240804200746595E-2</v>
      </c>
      <c r="O51" s="13">
        <f t="shared" si="3"/>
        <v>7.1595561297499444E-4</v>
      </c>
      <c r="P51" s="13">
        <f t="shared" si="4"/>
        <v>3.2498675052211191E-2</v>
      </c>
      <c r="Q51">
        <v>3</v>
      </c>
      <c r="R51" t="s">
        <v>17</v>
      </c>
      <c r="S51" t="s">
        <v>18</v>
      </c>
      <c r="T51" t="s">
        <v>39</v>
      </c>
      <c r="U51">
        <v>1007</v>
      </c>
      <c r="V51" s="6" t="s">
        <v>45</v>
      </c>
      <c r="W51" s="11">
        <v>-115.661</v>
      </c>
      <c r="X51" s="11">
        <v>-51.561000000000007</v>
      </c>
      <c r="Y51" s="11">
        <v>-282.916</v>
      </c>
      <c r="Z51" s="13"/>
      <c r="AA51" s="13"/>
      <c r="AB51" s="13"/>
      <c r="AC51" s="13"/>
      <c r="AD51">
        <v>3</v>
      </c>
      <c r="AE51" t="s">
        <v>17</v>
      </c>
    </row>
    <row r="52" spans="1:32" x14ac:dyDescent="0.3">
      <c r="A52" s="1" t="s">
        <v>107</v>
      </c>
      <c r="B52" s="1">
        <v>501</v>
      </c>
      <c r="C52" s="1" t="s">
        <v>94</v>
      </c>
      <c r="D52" s="8">
        <v>-0.16</v>
      </c>
      <c r="E52" s="8">
        <v>-0.27300000000000002</v>
      </c>
      <c r="F52" s="8">
        <v>3.6999999999999998E-2</v>
      </c>
      <c r="G52" t="s">
        <v>39</v>
      </c>
      <c r="H52">
        <v>501</v>
      </c>
      <c r="I52" s="5" t="s">
        <v>10</v>
      </c>
      <c r="J52" s="11">
        <v>-0.16</v>
      </c>
      <c r="K52" s="11">
        <v>-0.27300000000000002</v>
      </c>
      <c r="L52" s="11">
        <v>3.7000000000000012E-2</v>
      </c>
      <c r="M52" s="13"/>
      <c r="N52" s="13"/>
      <c r="O52" s="13"/>
      <c r="P52" s="13"/>
      <c r="Q52">
        <v>3</v>
      </c>
      <c r="R52" t="s">
        <v>11</v>
      </c>
      <c r="T52" t="s">
        <v>39</v>
      </c>
      <c r="U52">
        <v>50501</v>
      </c>
      <c r="V52" t="s">
        <v>67</v>
      </c>
      <c r="W52" s="11">
        <v>-7.7376603153700207E-2</v>
      </c>
      <c r="X52" s="11">
        <v>-0.30573165029377353</v>
      </c>
      <c r="Y52" s="11">
        <v>4.1111662464043082E-2</v>
      </c>
      <c r="Z52" s="13">
        <f t="shared" si="5"/>
        <v>-8.2623396846299796E-2</v>
      </c>
      <c r="AA52" s="13">
        <f t="shared" si="6"/>
        <v>3.2731650293773507E-2</v>
      </c>
      <c r="AB52" s="13">
        <f t="shared" si="7"/>
        <v>-4.1116624640430838E-3</v>
      </c>
      <c r="AC52" s="13">
        <f t="shared" si="8"/>
        <v>8.8965681055074533E-2</v>
      </c>
      <c r="AD52">
        <v>3</v>
      </c>
      <c r="AE52" t="s">
        <v>11</v>
      </c>
      <c r="AF52" t="s">
        <v>68</v>
      </c>
    </row>
    <row r="53" spans="1:32" x14ac:dyDescent="0.3">
      <c r="A53" s="1" t="s">
        <v>107</v>
      </c>
      <c r="B53" s="1">
        <v>502</v>
      </c>
      <c r="C53" s="1" t="s">
        <v>85</v>
      </c>
      <c r="D53" s="8">
        <v>172.02500000000001</v>
      </c>
      <c r="E53" s="8">
        <v>0.19</v>
      </c>
      <c r="F53" s="8">
        <v>-175.24600000000001</v>
      </c>
      <c r="G53" t="s">
        <v>39</v>
      </c>
      <c r="H53">
        <v>502</v>
      </c>
      <c r="I53" s="5" t="s">
        <v>12</v>
      </c>
      <c r="J53" s="11">
        <v>172.02500000000001</v>
      </c>
      <c r="K53" s="11">
        <v>0.19</v>
      </c>
      <c r="L53" s="11">
        <v>-175.24600000000001</v>
      </c>
      <c r="M53" s="13"/>
      <c r="N53" s="13"/>
      <c r="O53" s="13"/>
      <c r="P53" s="13"/>
      <c r="Q53">
        <v>3</v>
      </c>
      <c r="R53" t="s">
        <v>11</v>
      </c>
      <c r="T53" t="s">
        <v>39</v>
      </c>
      <c r="U53">
        <v>50502</v>
      </c>
      <c r="V53" t="s">
        <v>69</v>
      </c>
      <c r="W53" s="11">
        <v>172.072621875544</v>
      </c>
      <c r="X53" s="11">
        <v>0.16553088526700191</v>
      </c>
      <c r="Y53" s="11">
        <v>-175.22070742950751</v>
      </c>
      <c r="Z53" s="13">
        <f t="shared" si="5"/>
        <v>-4.7621875543995884E-2</v>
      </c>
      <c r="AA53" s="13">
        <f t="shared" si="6"/>
        <v>2.4469114732998093E-2</v>
      </c>
      <c r="AB53" s="13">
        <f t="shared" si="7"/>
        <v>-2.5292570492496225E-2</v>
      </c>
      <c r="AC53" s="13">
        <f t="shared" si="8"/>
        <v>5.9213974096173856E-2</v>
      </c>
      <c r="AD53">
        <v>3</v>
      </c>
      <c r="AE53" t="s">
        <v>11</v>
      </c>
      <c r="AF53" t="s">
        <v>68</v>
      </c>
    </row>
    <row r="54" spans="1:32" x14ac:dyDescent="0.3">
      <c r="A54" s="1" t="s">
        <v>107</v>
      </c>
      <c r="B54" s="1">
        <v>503</v>
      </c>
      <c r="C54" s="1" t="s">
        <v>95</v>
      </c>
      <c r="D54" s="8">
        <v>170.566</v>
      </c>
      <c r="E54" s="8">
        <v>-0.67100000000000004</v>
      </c>
      <c r="F54" s="8">
        <v>-0.92200000000000004</v>
      </c>
      <c r="G54" t="s">
        <v>39</v>
      </c>
      <c r="H54">
        <v>503</v>
      </c>
      <c r="I54" s="5" t="s">
        <v>13</v>
      </c>
      <c r="J54" s="11">
        <v>170.566</v>
      </c>
      <c r="K54" s="11">
        <v>-0.67099999999999993</v>
      </c>
      <c r="L54" s="11">
        <v>-0.92200000000000004</v>
      </c>
      <c r="M54" s="13"/>
      <c r="N54" s="13"/>
      <c r="O54" s="13"/>
      <c r="P54" s="13"/>
      <c r="Q54">
        <v>3</v>
      </c>
      <c r="R54" t="s">
        <v>11</v>
      </c>
      <c r="T54" t="s">
        <v>39</v>
      </c>
      <c r="U54">
        <v>50503</v>
      </c>
      <c r="V54" t="s">
        <v>70</v>
      </c>
      <c r="W54" s="11">
        <v>170.63111248273211</v>
      </c>
      <c r="X54" s="11">
        <v>-0.71543467004776828</v>
      </c>
      <c r="Y54" s="11">
        <v>-0.91941013823438089</v>
      </c>
      <c r="Z54" s="13">
        <f t="shared" si="5"/>
        <v>-6.5112482732104127E-2</v>
      </c>
      <c r="AA54" s="13">
        <f t="shared" si="6"/>
        <v>4.4434670047768243E-2</v>
      </c>
      <c r="AB54" s="13">
        <f t="shared" si="7"/>
        <v>-2.5898617656191503E-3</v>
      </c>
      <c r="AC54" s="13">
        <f t="shared" si="8"/>
        <v>7.8871938569795574E-2</v>
      </c>
      <c r="AD54">
        <v>3</v>
      </c>
      <c r="AE54" t="s">
        <v>11</v>
      </c>
      <c r="AF54" t="s">
        <v>68</v>
      </c>
    </row>
    <row r="55" spans="1:32" x14ac:dyDescent="0.3">
      <c r="A55" s="1" t="s">
        <v>107</v>
      </c>
      <c r="B55" s="1">
        <v>504</v>
      </c>
      <c r="C55" s="1" t="s">
        <v>87</v>
      </c>
      <c r="D55" s="8">
        <v>346.34699999999998</v>
      </c>
      <c r="E55" s="8">
        <v>7.3999999999999996E-2</v>
      </c>
      <c r="F55" s="8">
        <v>0.10100000000000001</v>
      </c>
      <c r="G55" t="s">
        <v>39</v>
      </c>
      <c r="H55">
        <v>504</v>
      </c>
      <c r="I55" s="5" t="s">
        <v>14</v>
      </c>
      <c r="J55" s="11">
        <v>346.34699999999998</v>
      </c>
      <c r="K55" s="11">
        <v>7.400000000000001E-2</v>
      </c>
      <c r="L55" s="11">
        <v>0.10100000000000001</v>
      </c>
      <c r="M55" s="13"/>
      <c r="N55" s="13"/>
      <c r="O55" s="13"/>
      <c r="P55" s="13"/>
      <c r="Q55">
        <v>3</v>
      </c>
      <c r="R55" t="s">
        <v>11</v>
      </c>
      <c r="T55" t="s">
        <v>39</v>
      </c>
      <c r="U55">
        <v>50504</v>
      </c>
      <c r="V55" t="s">
        <v>71</v>
      </c>
      <c r="W55" s="11">
        <v>346.38507551961948</v>
      </c>
      <c r="X55" s="11">
        <v>-4.212675135630517E-2</v>
      </c>
      <c r="Y55" s="11">
        <v>9.0223599843837321E-2</v>
      </c>
      <c r="Z55" s="13">
        <f t="shared" si="5"/>
        <v>-3.8075519619496845E-2</v>
      </c>
      <c r="AA55" s="13">
        <f t="shared" si="6"/>
        <v>0.11612675135630517</v>
      </c>
      <c r="AB55" s="13">
        <f t="shared" si="7"/>
        <v>1.0776400156162685E-2</v>
      </c>
      <c r="AC55" s="13">
        <f t="shared" si="8"/>
        <v>0.12268373313194197</v>
      </c>
      <c r="AD55">
        <v>3</v>
      </c>
      <c r="AE55" t="s">
        <v>11</v>
      </c>
      <c r="AF55" t="s">
        <v>68</v>
      </c>
    </row>
    <row r="56" spans="1:32" x14ac:dyDescent="0.3">
      <c r="A56" s="1" t="s">
        <v>107</v>
      </c>
      <c r="B56" s="1">
        <v>505</v>
      </c>
      <c r="C56" s="1" t="s">
        <v>96</v>
      </c>
      <c r="D56" s="8">
        <v>169.715</v>
      </c>
      <c r="E56" s="8">
        <v>-0.317</v>
      </c>
      <c r="F56" s="8">
        <v>175.22800000000001</v>
      </c>
      <c r="G56" t="s">
        <v>39</v>
      </c>
      <c r="H56">
        <v>505</v>
      </c>
      <c r="I56" s="5" t="s">
        <v>15</v>
      </c>
      <c r="J56" s="11">
        <v>169.715</v>
      </c>
      <c r="K56" s="11">
        <v>-0.317</v>
      </c>
      <c r="L56" s="11">
        <v>175.22800000000001</v>
      </c>
      <c r="M56" s="13"/>
      <c r="N56" s="13"/>
      <c r="O56" s="13"/>
      <c r="P56" s="13"/>
      <c r="Q56">
        <v>3</v>
      </c>
      <c r="R56" t="s">
        <v>11</v>
      </c>
      <c r="T56" t="s">
        <v>39</v>
      </c>
      <c r="U56">
        <v>50505</v>
      </c>
      <c r="V56" t="s">
        <v>72</v>
      </c>
      <c r="W56" s="11">
        <v>169.7889749766409</v>
      </c>
      <c r="X56" s="11">
        <v>-0.41131683026139421</v>
      </c>
      <c r="Y56" s="11">
        <v>175.19930180799909</v>
      </c>
      <c r="Z56" s="13">
        <f t="shared" si="5"/>
        <v>-7.3974976640897694E-2</v>
      </c>
      <c r="AA56" s="13">
        <f t="shared" si="6"/>
        <v>9.4316830261394202E-2</v>
      </c>
      <c r="AB56" s="13">
        <f t="shared" si="7"/>
        <v>2.8698192000916833E-2</v>
      </c>
      <c r="AC56" s="13">
        <f t="shared" si="8"/>
        <v>0.12325399735383631</v>
      </c>
      <c r="AD56">
        <v>3</v>
      </c>
      <c r="AE56" t="s">
        <v>11</v>
      </c>
      <c r="AF56" t="s">
        <v>68</v>
      </c>
    </row>
    <row r="57" spans="1:32" x14ac:dyDescent="0.3">
      <c r="A57" s="1" t="s">
        <v>107</v>
      </c>
      <c r="B57" s="1">
        <v>116</v>
      </c>
      <c r="C57" s="1" t="s">
        <v>81</v>
      </c>
      <c r="D57" s="8">
        <v>1012.2089999999999</v>
      </c>
      <c r="E57" s="8">
        <v>-624.31600000000003</v>
      </c>
      <c r="F57" s="8">
        <v>-1135.807</v>
      </c>
      <c r="G57" t="s">
        <v>39</v>
      </c>
      <c r="H57">
        <v>50116</v>
      </c>
      <c r="I57" t="s">
        <v>22</v>
      </c>
      <c r="J57" s="11">
        <v>1012.341723087845</v>
      </c>
      <c r="K57" s="11">
        <v>-624.18430077077267</v>
      </c>
      <c r="L57" s="11">
        <v>-1135.6504334598301</v>
      </c>
      <c r="M57" s="13">
        <f t="shared" si="1"/>
        <v>-0.13272308784507914</v>
      </c>
      <c r="N57" s="13">
        <f t="shared" si="2"/>
        <v>-0.13169922922736532</v>
      </c>
      <c r="O57" s="13">
        <f t="shared" si="3"/>
        <v>-0.15656654016993343</v>
      </c>
      <c r="P57" s="13">
        <f t="shared" si="4"/>
        <v>0.24387124989837997</v>
      </c>
      <c r="Q57">
        <v>3</v>
      </c>
      <c r="R57" t="s">
        <v>23</v>
      </c>
      <c r="S57" t="s">
        <v>18</v>
      </c>
      <c r="T57" t="s">
        <v>39</v>
      </c>
      <c r="U57">
        <v>50116</v>
      </c>
      <c r="V57" t="s">
        <v>22</v>
      </c>
      <c r="W57" s="11">
        <v>1012.185481172438</v>
      </c>
      <c r="X57" s="11">
        <v>-624.22094837489942</v>
      </c>
      <c r="Y57" s="11">
        <v>-1135.827243633682</v>
      </c>
      <c r="Z57" s="13">
        <f t="shared" si="5"/>
        <v>2.3518827561929356E-2</v>
      </c>
      <c r="AA57" s="13">
        <f t="shared" si="6"/>
        <v>-9.5051625100609272E-2</v>
      </c>
      <c r="AB57" s="13">
        <f t="shared" si="7"/>
        <v>2.0243633681957363E-2</v>
      </c>
      <c r="AC57" s="13">
        <f t="shared" si="8"/>
        <v>9.9988756311916491E-2</v>
      </c>
      <c r="AD57">
        <v>3</v>
      </c>
      <c r="AE57" t="s">
        <v>23</v>
      </c>
      <c r="AF57" t="s">
        <v>68</v>
      </c>
    </row>
    <row r="58" spans="1:32" x14ac:dyDescent="0.3">
      <c r="A58" s="1" t="s">
        <v>107</v>
      </c>
      <c r="B58" s="1">
        <v>121</v>
      </c>
      <c r="C58" s="1" t="s">
        <v>93</v>
      </c>
      <c r="D58" s="8">
        <v>635.35400000000004</v>
      </c>
      <c r="E58" s="8">
        <v>-99.731999999999999</v>
      </c>
      <c r="F58" s="8">
        <v>96.275999999999996</v>
      </c>
      <c r="G58" t="s">
        <v>39</v>
      </c>
      <c r="H58">
        <v>50121</v>
      </c>
      <c r="I58" t="s">
        <v>24</v>
      </c>
      <c r="J58" s="11">
        <v>635.27649958341487</v>
      </c>
      <c r="K58" s="11">
        <v>-99.604418018971856</v>
      </c>
      <c r="L58" s="11">
        <v>96.280697936386076</v>
      </c>
      <c r="M58" s="13">
        <f t="shared" si="1"/>
        <v>7.7500416585166931E-2</v>
      </c>
      <c r="N58" s="13">
        <f t="shared" si="2"/>
        <v>-0.12758198102814333</v>
      </c>
      <c r="O58" s="13">
        <f t="shared" si="3"/>
        <v>-4.6979363860799594E-3</v>
      </c>
      <c r="P58" s="13">
        <f t="shared" si="4"/>
        <v>0.14935041700721025</v>
      </c>
      <c r="Q58">
        <v>3</v>
      </c>
      <c r="R58" t="s">
        <v>23</v>
      </c>
      <c r="S58" t="s">
        <v>18</v>
      </c>
      <c r="T58" t="s">
        <v>39</v>
      </c>
      <c r="U58">
        <v>50121</v>
      </c>
      <c r="V58" t="s">
        <v>24</v>
      </c>
      <c r="W58" s="11">
        <v>635.31966078653454</v>
      </c>
      <c r="X58" s="11">
        <v>-99.798173079431351</v>
      </c>
      <c r="Y58" s="11">
        <v>96.231786950388468</v>
      </c>
      <c r="Z58" s="13">
        <f t="shared" si="5"/>
        <v>3.4339213465500507E-2</v>
      </c>
      <c r="AA58" s="13">
        <f t="shared" si="6"/>
        <v>6.6173079431351312E-2</v>
      </c>
      <c r="AB58" s="13">
        <f t="shared" si="7"/>
        <v>4.4213049611528277E-2</v>
      </c>
      <c r="AC58" s="13">
        <f t="shared" si="8"/>
        <v>8.6676708398557692E-2</v>
      </c>
      <c r="AD58">
        <v>3</v>
      </c>
      <c r="AE58" t="s">
        <v>23</v>
      </c>
      <c r="AF58" t="s">
        <v>68</v>
      </c>
    </row>
    <row r="59" spans="1:32" x14ac:dyDescent="0.3">
      <c r="A59" s="1" t="s">
        <v>107</v>
      </c>
      <c r="B59" s="1">
        <v>13</v>
      </c>
      <c r="C59" s="1" t="s">
        <v>80</v>
      </c>
      <c r="D59" s="8">
        <v>279.67599999999999</v>
      </c>
      <c r="E59" s="8">
        <v>2.9929999999999999</v>
      </c>
      <c r="F59" s="8">
        <v>200.958</v>
      </c>
      <c r="G59" t="s">
        <v>39</v>
      </c>
      <c r="H59">
        <v>50013</v>
      </c>
      <c r="I59" t="s">
        <v>25</v>
      </c>
      <c r="J59" s="11">
        <v>279.65896075560232</v>
      </c>
      <c r="K59" s="11">
        <v>2.9990610859415638</v>
      </c>
      <c r="L59" s="11">
        <v>200.93307419739989</v>
      </c>
      <c r="M59" s="13">
        <f t="shared" si="1"/>
        <v>1.7039244397665243E-2</v>
      </c>
      <c r="N59" s="13">
        <f t="shared" si="2"/>
        <v>-6.0610859415639595E-3</v>
      </c>
      <c r="O59" s="13">
        <f t="shared" si="3"/>
        <v>2.4925802600108682E-2</v>
      </c>
      <c r="P59" s="13">
        <f t="shared" si="4"/>
        <v>3.0795588120605448E-2</v>
      </c>
      <c r="Q59">
        <v>3</v>
      </c>
      <c r="R59" t="s">
        <v>23</v>
      </c>
      <c r="S59" t="s">
        <v>18</v>
      </c>
      <c r="T59" t="s">
        <v>39</v>
      </c>
      <c r="U59">
        <v>50013</v>
      </c>
      <c r="V59" t="s">
        <v>25</v>
      </c>
      <c r="W59" s="11">
        <v>279.73308449720957</v>
      </c>
      <c r="X59" s="11">
        <v>2.8700795186425032</v>
      </c>
      <c r="Y59" s="11">
        <v>200.92583823676421</v>
      </c>
      <c r="Z59" s="13">
        <f t="shared" si="5"/>
        <v>-5.7084497209586971E-2</v>
      </c>
      <c r="AA59" s="13">
        <f t="shared" si="6"/>
        <v>0.12292048135749667</v>
      </c>
      <c r="AB59" s="13">
        <f t="shared" si="7"/>
        <v>3.2161763235791341E-2</v>
      </c>
      <c r="AC59" s="13">
        <f t="shared" si="8"/>
        <v>0.13929272620372224</v>
      </c>
      <c r="AD59">
        <v>3</v>
      </c>
      <c r="AE59" t="s">
        <v>23</v>
      </c>
      <c r="AF59" t="s">
        <v>68</v>
      </c>
    </row>
    <row r="60" spans="1:32" x14ac:dyDescent="0.3">
      <c r="A60" s="1" t="s">
        <v>107</v>
      </c>
      <c r="B60" s="1">
        <v>34</v>
      </c>
      <c r="C60" s="1" t="s">
        <v>74</v>
      </c>
      <c r="D60" s="8">
        <v>757.76700000000005</v>
      </c>
      <c r="E60" s="8">
        <v>-94.466999999999999</v>
      </c>
      <c r="F60" s="8">
        <v>-665.64700000000005</v>
      </c>
      <c r="G60" t="s">
        <v>39</v>
      </c>
      <c r="H60">
        <v>50034</v>
      </c>
      <c r="I60" t="s">
        <v>26</v>
      </c>
      <c r="J60" s="11">
        <v>757.71792482957153</v>
      </c>
      <c r="K60" s="11">
        <v>-94.346358299061066</v>
      </c>
      <c r="L60" s="11">
        <v>-665.57927833955102</v>
      </c>
      <c r="M60" s="13">
        <f t="shared" si="1"/>
        <v>4.9075170428523052E-2</v>
      </c>
      <c r="N60" s="13">
        <f t="shared" si="2"/>
        <v>-0.12064170093893267</v>
      </c>
      <c r="O60" s="13">
        <f t="shared" si="3"/>
        <v>-6.7721660449024057E-2</v>
      </c>
      <c r="P60" s="13">
        <f t="shared" si="4"/>
        <v>0.14679582981815376</v>
      </c>
      <c r="Q60">
        <v>3</v>
      </c>
      <c r="R60" t="s">
        <v>23</v>
      </c>
      <c r="S60" t="s">
        <v>18</v>
      </c>
      <c r="T60" t="s">
        <v>39</v>
      </c>
      <c r="U60">
        <v>50034</v>
      </c>
      <c r="V60" t="s">
        <v>26</v>
      </c>
      <c r="W60" s="11">
        <v>757.71736914674432</v>
      </c>
      <c r="X60" s="11">
        <v>-94.416232927920987</v>
      </c>
      <c r="Y60" s="11">
        <v>-665.63434890805411</v>
      </c>
      <c r="Z60" s="13">
        <f t="shared" si="5"/>
        <v>4.9630853255735019E-2</v>
      </c>
      <c r="AA60" s="13">
        <f t="shared" si="6"/>
        <v>-5.0767072079011655E-2</v>
      </c>
      <c r="AB60" s="13">
        <f t="shared" si="7"/>
        <v>-1.2651091945940607E-2</v>
      </c>
      <c r="AC60" s="13">
        <f t="shared" si="8"/>
        <v>7.211495912633184E-2</v>
      </c>
      <c r="AD60">
        <v>3</v>
      </c>
      <c r="AE60" t="s">
        <v>23</v>
      </c>
      <c r="AF60" t="s">
        <v>68</v>
      </c>
    </row>
    <row r="61" spans="1:32" x14ac:dyDescent="0.3">
      <c r="A61" s="1" t="s">
        <v>107</v>
      </c>
      <c r="B61" s="1">
        <v>37</v>
      </c>
      <c r="C61" s="1" t="s">
        <v>79</v>
      </c>
      <c r="D61" s="8">
        <v>33.274999999999999</v>
      </c>
      <c r="E61" s="8">
        <v>-98.884</v>
      </c>
      <c r="F61" s="8">
        <v>-390.71300000000002</v>
      </c>
      <c r="G61" t="s">
        <v>39</v>
      </c>
      <c r="H61">
        <v>50037</v>
      </c>
      <c r="I61" t="s">
        <v>27</v>
      </c>
      <c r="J61" s="11">
        <v>33.271932954352202</v>
      </c>
      <c r="K61" s="11">
        <v>-98.96708340546337</v>
      </c>
      <c r="L61" s="11">
        <v>-390.70034764534392</v>
      </c>
      <c r="M61" s="13">
        <f t="shared" si="1"/>
        <v>3.0670456477963626E-3</v>
      </c>
      <c r="N61" s="13">
        <f t="shared" si="2"/>
        <v>8.3083405463369786E-2</v>
      </c>
      <c r="O61" s="13">
        <f t="shared" si="3"/>
        <v>-1.2652354656097486E-2</v>
      </c>
      <c r="P61" s="13">
        <f t="shared" si="4"/>
        <v>8.40972122649737E-2</v>
      </c>
      <c r="Q61">
        <v>3</v>
      </c>
      <c r="R61" t="s">
        <v>23</v>
      </c>
      <c r="S61" t="s">
        <v>18</v>
      </c>
      <c r="T61" t="s">
        <v>39</v>
      </c>
      <c r="U61">
        <v>50037</v>
      </c>
      <c r="V61" t="s">
        <v>27</v>
      </c>
      <c r="W61" s="11">
        <v>33.286513739252747</v>
      </c>
      <c r="X61" s="11">
        <v>-98.917418080661349</v>
      </c>
      <c r="Y61" s="11">
        <v>-390.71354603937158</v>
      </c>
      <c r="Z61" s="13">
        <f t="shared" si="5"/>
        <v>-1.1513739252748678E-2</v>
      </c>
      <c r="AA61" s="13">
        <f t="shared" si="6"/>
        <v>3.3418080661348881E-2</v>
      </c>
      <c r="AB61" s="13">
        <f t="shared" si="7"/>
        <v>5.4603937155661697E-4</v>
      </c>
      <c r="AC61" s="13">
        <f t="shared" si="8"/>
        <v>3.5350140956776903E-2</v>
      </c>
      <c r="AD61">
        <v>3</v>
      </c>
      <c r="AE61" t="s">
        <v>23</v>
      </c>
      <c r="AF61" t="s">
        <v>68</v>
      </c>
    </row>
    <row r="62" spans="1:32" x14ac:dyDescent="0.3">
      <c r="A62" s="1" t="s">
        <v>107</v>
      </c>
      <c r="B62" s="1">
        <v>4</v>
      </c>
      <c r="C62" s="1" t="s">
        <v>88</v>
      </c>
      <c r="D62" s="8">
        <v>1045.8520000000001</v>
      </c>
      <c r="E62" s="8">
        <v>-512.04</v>
      </c>
      <c r="F62" s="8">
        <v>-1105.4929999999999</v>
      </c>
      <c r="G62" t="s">
        <v>39</v>
      </c>
      <c r="H62">
        <v>50004</v>
      </c>
      <c r="I62" t="s">
        <v>29</v>
      </c>
      <c r="J62" s="11">
        <v>1045.9929426628371</v>
      </c>
      <c r="K62" s="11">
        <v>-511.93222844024041</v>
      </c>
      <c r="L62" s="11">
        <v>-1105.397356211613</v>
      </c>
      <c r="M62" s="13">
        <f t="shared" si="1"/>
        <v>-0.14094266283700563</v>
      </c>
      <c r="N62" s="13">
        <f t="shared" si="2"/>
        <v>-0.10777155975955566</v>
      </c>
      <c r="O62" s="13">
        <f t="shared" si="3"/>
        <v>-9.5643788386951201E-2</v>
      </c>
      <c r="P62" s="13">
        <f t="shared" si="4"/>
        <v>0.20156209355332966</v>
      </c>
      <c r="Q62">
        <v>3</v>
      </c>
      <c r="R62" t="s">
        <v>23</v>
      </c>
      <c r="S62" t="s">
        <v>18</v>
      </c>
      <c r="T62" t="s">
        <v>39</v>
      </c>
      <c r="U62">
        <v>50004</v>
      </c>
      <c r="V62" t="s">
        <v>29</v>
      </c>
      <c r="W62" s="11">
        <v>1045.8655880460699</v>
      </c>
      <c r="X62" s="11">
        <v>-511.9830990138812</v>
      </c>
      <c r="Y62" s="11">
        <v>-1105.5535491752239</v>
      </c>
      <c r="Z62" s="13">
        <f t="shared" si="5"/>
        <v>-1.358804606979902E-2</v>
      </c>
      <c r="AA62" s="13">
        <f t="shared" si="6"/>
        <v>-5.6900986118762376E-2</v>
      </c>
      <c r="AB62" s="13">
        <f t="shared" si="7"/>
        <v>6.0549175223968632E-2</v>
      </c>
      <c r="AC62" s="13">
        <f t="shared" si="8"/>
        <v>8.4193585489545614E-2</v>
      </c>
      <c r="AD62">
        <v>3</v>
      </c>
      <c r="AE62" t="s">
        <v>23</v>
      </c>
      <c r="AF62" t="s">
        <v>68</v>
      </c>
    </row>
    <row r="63" spans="1:32" x14ac:dyDescent="0.3">
      <c r="A63" s="1" t="s">
        <v>107</v>
      </c>
      <c r="B63" s="1">
        <v>42</v>
      </c>
      <c r="C63" s="1" t="s">
        <v>90</v>
      </c>
      <c r="D63" s="8">
        <v>1083.2</v>
      </c>
      <c r="E63" s="8">
        <v>-96.497</v>
      </c>
      <c r="F63" s="8">
        <v>-356.399</v>
      </c>
      <c r="G63" t="s">
        <v>39</v>
      </c>
      <c r="H63">
        <v>50042</v>
      </c>
      <c r="I63" t="s">
        <v>28</v>
      </c>
      <c r="J63" s="11">
        <v>1083.144715739767</v>
      </c>
      <c r="K63" s="11">
        <v>-96.239232726555599</v>
      </c>
      <c r="L63" s="11">
        <v>-356.32983240343623</v>
      </c>
      <c r="M63" s="13">
        <f t="shared" si="1"/>
        <v>5.5284260233065652E-2</v>
      </c>
      <c r="N63" s="13">
        <f t="shared" si="2"/>
        <v>-0.25776727344440076</v>
      </c>
      <c r="O63" s="13">
        <f t="shared" si="3"/>
        <v>-6.9167596563772804E-2</v>
      </c>
      <c r="P63" s="13">
        <f t="shared" si="4"/>
        <v>0.27255178059019652</v>
      </c>
      <c r="Q63">
        <v>3</v>
      </c>
      <c r="R63" t="s">
        <v>23</v>
      </c>
      <c r="S63" t="s">
        <v>18</v>
      </c>
      <c r="T63" t="s">
        <v>39</v>
      </c>
      <c r="U63">
        <v>50042</v>
      </c>
      <c r="V63" t="s">
        <v>28</v>
      </c>
      <c r="W63" s="11">
        <v>1083.1619520490999</v>
      </c>
      <c r="X63" s="11">
        <v>-96.44995831750181</v>
      </c>
      <c r="Y63" s="11">
        <v>-356.40452103232712</v>
      </c>
      <c r="Z63" s="13">
        <f t="shared" si="5"/>
        <v>3.8047950900136129E-2</v>
      </c>
      <c r="AA63" s="13">
        <f t="shared" si="6"/>
        <v>-4.704168249818963E-2</v>
      </c>
      <c r="AB63" s="13">
        <f t="shared" si="7"/>
        <v>5.5210323271239758E-3</v>
      </c>
      <c r="AC63" s="13">
        <f t="shared" si="8"/>
        <v>6.0753997875998236E-2</v>
      </c>
      <c r="AD63">
        <v>3</v>
      </c>
      <c r="AE63" t="s">
        <v>23</v>
      </c>
      <c r="AF63" t="s">
        <v>68</v>
      </c>
    </row>
    <row r="64" spans="1:32" x14ac:dyDescent="0.3">
      <c r="A64" s="1" t="s">
        <v>107</v>
      </c>
      <c r="B64" s="1">
        <v>506</v>
      </c>
      <c r="C64" s="1" t="s">
        <v>82</v>
      </c>
      <c r="D64" s="8">
        <v>1148.3889999999999</v>
      </c>
      <c r="E64" s="8">
        <v>-23.059000000000001</v>
      </c>
      <c r="F64" s="8">
        <v>-460.411</v>
      </c>
      <c r="G64" t="s">
        <v>39</v>
      </c>
      <c r="H64">
        <v>50506</v>
      </c>
      <c r="I64" t="s">
        <v>30</v>
      </c>
      <c r="J64" s="11">
        <v>1148.3802951344919</v>
      </c>
      <c r="K64" s="11">
        <v>-22.791866773075821</v>
      </c>
      <c r="L64" s="11">
        <v>-460.34328068979971</v>
      </c>
      <c r="M64" s="13">
        <f t="shared" si="1"/>
        <v>8.7048655079797754E-3</v>
      </c>
      <c r="N64" s="13">
        <f t="shared" si="2"/>
        <v>-0.26713322692418018</v>
      </c>
      <c r="O64" s="13">
        <f t="shared" si="3"/>
        <v>-6.7719310200288874E-2</v>
      </c>
      <c r="P64" s="13">
        <f t="shared" si="4"/>
        <v>0.27572058425957335</v>
      </c>
      <c r="Q64">
        <v>3</v>
      </c>
      <c r="R64" t="s">
        <v>23</v>
      </c>
      <c r="S64" t="s">
        <v>18</v>
      </c>
      <c r="T64" t="s">
        <v>39</v>
      </c>
      <c r="U64">
        <v>50506</v>
      </c>
      <c r="V64" t="s">
        <v>30</v>
      </c>
      <c r="W64" s="11">
        <v>1148.4091212542839</v>
      </c>
      <c r="X64" s="11">
        <v>-22.99739697606465</v>
      </c>
      <c r="Y64" s="11">
        <v>-460.40703038658478</v>
      </c>
      <c r="Z64" s="13">
        <f t="shared" si="5"/>
        <v>-2.0121254284049428E-2</v>
      </c>
      <c r="AA64" s="13">
        <f t="shared" si="6"/>
        <v>-6.1603023935351331E-2</v>
      </c>
      <c r="AB64" s="13">
        <f t="shared" si="7"/>
        <v>-3.9696134152222839E-3</v>
      </c>
      <c r="AC64" s="13">
        <f t="shared" si="8"/>
        <v>6.4927307526257083E-2</v>
      </c>
      <c r="AD64">
        <v>3</v>
      </c>
      <c r="AE64" t="s">
        <v>23</v>
      </c>
      <c r="AF64" t="s">
        <v>68</v>
      </c>
    </row>
    <row r="65" spans="1:32" x14ac:dyDescent="0.3">
      <c r="A65" s="1" t="s">
        <v>107</v>
      </c>
      <c r="B65" s="1">
        <v>507</v>
      </c>
      <c r="C65" s="1" t="s">
        <v>83</v>
      </c>
      <c r="D65" s="8">
        <v>676.55899999999997</v>
      </c>
      <c r="E65" s="8">
        <v>-27.135000000000002</v>
      </c>
      <c r="F65" s="8">
        <v>-1093.74</v>
      </c>
      <c r="G65" t="s">
        <v>39</v>
      </c>
      <c r="H65">
        <v>50507</v>
      </c>
      <c r="I65" t="s">
        <v>31</v>
      </c>
      <c r="J65" s="11">
        <v>676.45027487731875</v>
      </c>
      <c r="K65" s="11">
        <v>-27.085009002083691</v>
      </c>
      <c r="L65" s="11">
        <v>-1093.596588784874</v>
      </c>
      <c r="M65" s="13">
        <f t="shared" si="1"/>
        <v>0.10872512268122136</v>
      </c>
      <c r="N65" s="13">
        <f t="shared" si="2"/>
        <v>-4.9990997916310675E-2</v>
      </c>
      <c r="O65" s="13">
        <f t="shared" si="3"/>
        <v>-0.14341121512597965</v>
      </c>
      <c r="P65" s="13">
        <f t="shared" si="4"/>
        <v>0.18678069707179387</v>
      </c>
      <c r="Q65">
        <v>3</v>
      </c>
      <c r="R65" t="s">
        <v>23</v>
      </c>
      <c r="S65" t="s">
        <v>18</v>
      </c>
      <c r="T65" t="s">
        <v>39</v>
      </c>
      <c r="U65">
        <v>50507</v>
      </c>
      <c r="V65" t="s">
        <v>31</v>
      </c>
      <c r="W65" s="11">
        <v>676.44068977414247</v>
      </c>
      <c r="X65" s="11">
        <v>-27.0490624010096</v>
      </c>
      <c r="Y65" s="11">
        <v>-1093.633301949088</v>
      </c>
      <c r="Z65" s="13">
        <f t="shared" si="5"/>
        <v>0.11831022585749906</v>
      </c>
      <c r="AA65" s="13">
        <f t="shared" si="6"/>
        <v>-8.5937598990401654E-2</v>
      </c>
      <c r="AB65" s="13">
        <f t="shared" si="7"/>
        <v>-0.10669805091197304</v>
      </c>
      <c r="AC65" s="13">
        <f t="shared" si="8"/>
        <v>0.1810167244513653</v>
      </c>
      <c r="AD65">
        <v>3</v>
      </c>
      <c r="AE65" t="s">
        <v>23</v>
      </c>
      <c r="AF65" t="s">
        <v>68</v>
      </c>
    </row>
    <row r="66" spans="1:32" x14ac:dyDescent="0.3">
      <c r="A66" s="1" t="s">
        <v>107</v>
      </c>
      <c r="B66" s="1">
        <v>509</v>
      </c>
      <c r="C66" s="1" t="s">
        <v>97</v>
      </c>
      <c r="D66" s="8">
        <v>488.19799999999998</v>
      </c>
      <c r="E66" s="8">
        <v>-401.68299999999999</v>
      </c>
      <c r="F66" s="8">
        <v>439.625</v>
      </c>
      <c r="G66" t="s">
        <v>39</v>
      </c>
      <c r="H66">
        <v>50509</v>
      </c>
      <c r="I66" t="s">
        <v>32</v>
      </c>
      <c r="J66" s="11">
        <v>488.19025174601211</v>
      </c>
      <c r="K66" s="11">
        <v>-401.58643047773302</v>
      </c>
      <c r="L66" s="11">
        <v>439.52468808024929</v>
      </c>
      <c r="M66" s="13">
        <f t="shared" si="1"/>
        <v>7.7482539878701573E-3</v>
      </c>
      <c r="N66" s="13">
        <f t="shared" si="2"/>
        <v>-9.6569522266975127E-2</v>
      </c>
      <c r="O66" s="13">
        <f t="shared" si="3"/>
        <v>0.10031191975070897</v>
      </c>
      <c r="P66" s="13">
        <f t="shared" si="4"/>
        <v>0.13945676503778878</v>
      </c>
      <c r="Q66">
        <v>3</v>
      </c>
      <c r="R66" t="s">
        <v>23</v>
      </c>
      <c r="S66" t="s">
        <v>18</v>
      </c>
      <c r="T66" t="s">
        <v>39</v>
      </c>
      <c r="U66">
        <v>50509</v>
      </c>
      <c r="V66" t="s">
        <v>32</v>
      </c>
      <c r="W66" s="11">
        <v>488.18077326458632</v>
      </c>
      <c r="X66" s="11">
        <v>-401.81379053380488</v>
      </c>
      <c r="Y66" s="11">
        <v>439.4236451199364</v>
      </c>
      <c r="Z66" s="13">
        <f t="shared" si="5"/>
        <v>1.7226735413657934E-2</v>
      </c>
      <c r="AA66" s="13">
        <f t="shared" si="6"/>
        <v>0.13079053380488403</v>
      </c>
      <c r="AB66" s="13">
        <f t="shared" si="7"/>
        <v>0.20135488006360447</v>
      </c>
      <c r="AC66" s="13">
        <f t="shared" si="8"/>
        <v>0.24072123269750684</v>
      </c>
      <c r="AD66">
        <v>3</v>
      </c>
      <c r="AE66" t="s">
        <v>23</v>
      </c>
      <c r="AF66" t="s">
        <v>68</v>
      </c>
    </row>
    <row r="67" spans="1:32" x14ac:dyDescent="0.3">
      <c r="A67" s="1" t="s">
        <v>107</v>
      </c>
      <c r="B67" s="1">
        <v>57</v>
      </c>
      <c r="C67" s="1" t="s">
        <v>91</v>
      </c>
      <c r="D67" s="8">
        <v>381.60300000000001</v>
      </c>
      <c r="E67" s="8">
        <v>-99.260999999999996</v>
      </c>
      <c r="F67" s="8">
        <v>-132.023</v>
      </c>
      <c r="G67" t="s">
        <v>39</v>
      </c>
      <c r="H67">
        <v>50057</v>
      </c>
      <c r="I67" t="s">
        <v>33</v>
      </c>
      <c r="J67" s="11">
        <v>381.56676286346942</v>
      </c>
      <c r="K67" s="11">
        <v>-99.213736619322603</v>
      </c>
      <c r="L67" s="11">
        <v>-132.01830321009271</v>
      </c>
      <c r="M67" s="13">
        <f t="shared" ref="M67:M130" si="9">D67-J67</f>
        <v>3.6237136530587577E-2</v>
      </c>
      <c r="N67" s="13">
        <f t="shared" ref="N67:N130" si="10">E67-K67</f>
        <v>-4.7263380677392774E-2</v>
      </c>
      <c r="O67" s="13">
        <f t="shared" ref="O67:O130" si="11">F67-L67</f>
        <v>-4.6967899072853925E-3</v>
      </c>
      <c r="P67" s="13">
        <f t="shared" ref="P67:P130" si="12">SQRT(M67*M67+N67*N67+O67*O67)</f>
        <v>5.9741250844167697E-2</v>
      </c>
      <c r="Q67">
        <v>3</v>
      </c>
      <c r="R67" t="s">
        <v>23</v>
      </c>
      <c r="S67" t="s">
        <v>18</v>
      </c>
      <c r="T67" t="s">
        <v>39</v>
      </c>
      <c r="U67">
        <v>50057</v>
      </c>
      <c r="V67" t="s">
        <v>33</v>
      </c>
      <c r="W67" s="11">
        <v>381.59654673888127</v>
      </c>
      <c r="X67" s="11">
        <v>-99.300258853438748</v>
      </c>
      <c r="Y67" s="11">
        <v>-132.0521383319782</v>
      </c>
      <c r="Z67" s="13">
        <f t="shared" ref="Z67:Z130" si="13">D67-W67</f>
        <v>6.4532611187360089E-3</v>
      </c>
      <c r="AA67" s="13">
        <f t="shared" ref="AA67:AA130" si="14">E67-X67</f>
        <v>3.9258853438752794E-2</v>
      </c>
      <c r="AB67" s="13">
        <f t="shared" ref="AB67:AB130" si="15">F67-Y67</f>
        <v>2.9138331978202814E-2</v>
      </c>
      <c r="AC67" s="13">
        <f t="shared" ref="AC67:AC130" si="16">SQRT(Z67*Z67+AA67*AA67+AB67*AB67)</f>
        <v>4.9314749749583227E-2</v>
      </c>
      <c r="AD67">
        <v>3</v>
      </c>
      <c r="AE67" t="s">
        <v>23</v>
      </c>
      <c r="AF67" t="s">
        <v>68</v>
      </c>
    </row>
    <row r="68" spans="1:32" x14ac:dyDescent="0.3">
      <c r="A68" s="1" t="s">
        <v>107</v>
      </c>
      <c r="B68" s="1">
        <v>87</v>
      </c>
      <c r="C68" s="1" t="s">
        <v>86</v>
      </c>
      <c r="D68" s="8">
        <v>1198.903</v>
      </c>
      <c r="E68" s="8">
        <v>-630.55899999999997</v>
      </c>
      <c r="F68" s="8">
        <v>-975.84299999999996</v>
      </c>
      <c r="G68" t="s">
        <v>39</v>
      </c>
      <c r="H68">
        <v>50087</v>
      </c>
      <c r="I68" t="s">
        <v>34</v>
      </c>
      <c r="J68" s="11">
        <v>1198.9199233243451</v>
      </c>
      <c r="K68" s="11">
        <v>-630.41925596745068</v>
      </c>
      <c r="L68" s="11">
        <v>-975.5749468980398</v>
      </c>
      <c r="M68" s="13">
        <f t="shared" si="9"/>
        <v>-1.6923324345043511E-2</v>
      </c>
      <c r="N68" s="13">
        <f t="shared" si="10"/>
        <v>-0.13974403254928802</v>
      </c>
      <c r="O68" s="13">
        <f t="shared" si="11"/>
        <v>-0.26805310196016308</v>
      </c>
      <c r="P68" s="13">
        <f t="shared" si="12"/>
        <v>0.30276601363179717</v>
      </c>
      <c r="Q68">
        <v>3</v>
      </c>
      <c r="R68" t="s">
        <v>23</v>
      </c>
      <c r="S68" t="s">
        <v>18</v>
      </c>
      <c r="T68" t="s">
        <v>39</v>
      </c>
      <c r="U68">
        <v>50087</v>
      </c>
      <c r="V68" t="s">
        <v>34</v>
      </c>
      <c r="W68" s="11">
        <v>1198.771621640117</v>
      </c>
      <c r="X68" s="11">
        <v>-630.53318822169513</v>
      </c>
      <c r="Y68" s="11">
        <v>-975.7640414875234</v>
      </c>
      <c r="Z68" s="13">
        <f t="shared" si="13"/>
        <v>0.13137835988300139</v>
      </c>
      <c r="AA68" s="13">
        <f t="shared" si="14"/>
        <v>-2.5811778304841937E-2</v>
      </c>
      <c r="AB68" s="13">
        <f t="shared" si="15"/>
        <v>-7.8958512476560827E-2</v>
      </c>
      <c r="AC68" s="13">
        <f t="shared" si="16"/>
        <v>0.15543798775497886</v>
      </c>
      <c r="AD68">
        <v>3</v>
      </c>
      <c r="AE68" t="s">
        <v>23</v>
      </c>
      <c r="AF68" t="s">
        <v>68</v>
      </c>
    </row>
    <row r="69" spans="1:32" x14ac:dyDescent="0.3">
      <c r="A69" s="1" t="s">
        <v>107</v>
      </c>
      <c r="B69" s="1">
        <v>92</v>
      </c>
      <c r="C69" s="1" t="s">
        <v>92</v>
      </c>
      <c r="D69" s="8">
        <v>532.56799999999998</v>
      </c>
      <c r="E69" s="8">
        <v>-94.347999999999999</v>
      </c>
      <c r="F69" s="8">
        <v>-862.17399999999998</v>
      </c>
      <c r="G69" t="s">
        <v>39</v>
      </c>
      <c r="H69">
        <v>50092</v>
      </c>
      <c r="I69" t="s">
        <v>35</v>
      </c>
      <c r="J69" s="11">
        <v>532.52487776023918</v>
      </c>
      <c r="K69" s="11">
        <v>-94.259615770762068</v>
      </c>
      <c r="L69" s="11">
        <v>-862.12195783075776</v>
      </c>
      <c r="M69" s="13">
        <f t="shared" si="9"/>
        <v>4.3122239760805314E-2</v>
      </c>
      <c r="N69" s="13">
        <f t="shared" si="10"/>
        <v>-8.8384229237931322E-2</v>
      </c>
      <c r="O69" s="13">
        <f t="shared" si="11"/>
        <v>-5.2042169242213276E-2</v>
      </c>
      <c r="P69" s="13">
        <f t="shared" si="12"/>
        <v>0.11126404144828976</v>
      </c>
      <c r="Q69">
        <v>3</v>
      </c>
      <c r="R69" t="s">
        <v>23</v>
      </c>
      <c r="S69" t="s">
        <v>18</v>
      </c>
      <c r="T69" t="s">
        <v>39</v>
      </c>
      <c r="U69">
        <v>50092</v>
      </c>
      <c r="V69" t="s">
        <v>35</v>
      </c>
      <c r="W69" s="11">
        <v>532.51274547899538</v>
      </c>
      <c r="X69" s="11">
        <v>-94.235538120673553</v>
      </c>
      <c r="Y69" s="11">
        <v>-862.16369954625839</v>
      </c>
      <c r="Z69" s="13">
        <f t="shared" si="13"/>
        <v>5.5254521004599155E-2</v>
      </c>
      <c r="AA69" s="13">
        <f t="shared" si="14"/>
        <v>-0.11246187932644602</v>
      </c>
      <c r="AB69" s="13">
        <f t="shared" si="15"/>
        <v>-1.0300453741592719E-2</v>
      </c>
      <c r="AC69" s="13">
        <f t="shared" si="16"/>
        <v>0.12572523907460462</v>
      </c>
      <c r="AD69">
        <v>3</v>
      </c>
      <c r="AE69" t="s">
        <v>23</v>
      </c>
      <c r="AF69" t="s">
        <v>68</v>
      </c>
    </row>
    <row r="70" spans="1:32" x14ac:dyDescent="0.3">
      <c r="A70" s="1" t="s">
        <v>107</v>
      </c>
      <c r="B70" s="1">
        <v>96</v>
      </c>
      <c r="C70" s="1" t="s">
        <v>84</v>
      </c>
      <c r="D70" s="8">
        <v>424.53300000000002</v>
      </c>
      <c r="E70" s="8">
        <v>2.9849999999999999</v>
      </c>
      <c r="F70" s="8">
        <v>304.23599999999999</v>
      </c>
      <c r="G70" t="s">
        <v>39</v>
      </c>
      <c r="H70">
        <v>50096</v>
      </c>
      <c r="I70" t="s">
        <v>36</v>
      </c>
      <c r="J70" s="11">
        <v>424.49936566439982</v>
      </c>
      <c r="K70" s="11">
        <v>3.053491894970882</v>
      </c>
      <c r="L70" s="11">
        <v>304.19998503752629</v>
      </c>
      <c r="M70" s="13">
        <f t="shared" si="9"/>
        <v>3.3634335600197574E-2</v>
      </c>
      <c r="N70" s="13">
        <f t="shared" si="10"/>
        <v>-6.849189497088215E-2</v>
      </c>
      <c r="O70" s="13">
        <f t="shared" si="11"/>
        <v>3.6014962473700507E-2</v>
      </c>
      <c r="P70" s="13">
        <f t="shared" si="12"/>
        <v>8.4377045041593657E-2</v>
      </c>
      <c r="Q70">
        <v>3</v>
      </c>
      <c r="R70" t="s">
        <v>23</v>
      </c>
      <c r="S70" t="s">
        <v>18</v>
      </c>
      <c r="T70" t="s">
        <v>39</v>
      </c>
      <c r="U70">
        <v>50096</v>
      </c>
      <c r="V70" t="s">
        <v>36</v>
      </c>
      <c r="W70" s="11">
        <v>424.57959527673432</v>
      </c>
      <c r="X70" s="11">
        <v>2.8687434887115368</v>
      </c>
      <c r="Y70" s="11">
        <v>304.18419888873331</v>
      </c>
      <c r="Z70" s="13">
        <f t="shared" si="13"/>
        <v>-4.65952767343083E-2</v>
      </c>
      <c r="AA70" s="13">
        <f t="shared" si="14"/>
        <v>0.11625651128846304</v>
      </c>
      <c r="AB70" s="13">
        <f t="shared" si="15"/>
        <v>5.1801111266684075E-2</v>
      </c>
      <c r="AC70" s="13">
        <f t="shared" si="16"/>
        <v>0.13553616255219378</v>
      </c>
      <c r="AD70">
        <v>3</v>
      </c>
      <c r="AE70" t="s">
        <v>23</v>
      </c>
      <c r="AF70" t="s">
        <v>68</v>
      </c>
    </row>
    <row r="71" spans="1:32" x14ac:dyDescent="0.3">
      <c r="A71" s="1" t="s">
        <v>102</v>
      </c>
      <c r="B71" s="1">
        <v>1003</v>
      </c>
      <c r="C71" s="1" t="s">
        <v>75</v>
      </c>
      <c r="D71" s="8">
        <v>575.23900000000003</v>
      </c>
      <c r="E71" s="8">
        <v>-53.573</v>
      </c>
      <c r="F71" s="8">
        <v>348.10599999999999</v>
      </c>
      <c r="G71" t="s">
        <v>40</v>
      </c>
      <c r="H71">
        <v>51008</v>
      </c>
      <c r="I71" t="s">
        <v>16</v>
      </c>
      <c r="J71" s="11">
        <v>575.19481628328435</v>
      </c>
      <c r="K71" s="11">
        <v>-53.407643635301902</v>
      </c>
      <c r="L71" s="11">
        <v>348.09991861863227</v>
      </c>
      <c r="M71" s="13">
        <f t="shared" si="9"/>
        <v>4.4183716715679111E-2</v>
      </c>
      <c r="N71" s="13">
        <f t="shared" si="10"/>
        <v>-0.16535636469809845</v>
      </c>
      <c r="O71" s="13">
        <f t="shared" si="11"/>
        <v>6.0813813677214057E-3</v>
      </c>
      <c r="P71" s="13">
        <f t="shared" si="12"/>
        <v>0.17126561642174878</v>
      </c>
      <c r="Q71">
        <v>4</v>
      </c>
      <c r="R71" t="s">
        <v>17</v>
      </c>
      <c r="S71" t="s">
        <v>18</v>
      </c>
      <c r="T71" t="s">
        <v>40</v>
      </c>
      <c r="U71">
        <v>1003</v>
      </c>
      <c r="V71" s="6" t="s">
        <v>42</v>
      </c>
      <c r="W71" s="11">
        <v>575.23900000000003</v>
      </c>
      <c r="X71" s="11">
        <v>-53.573</v>
      </c>
      <c r="Y71" s="11">
        <v>348.10599999999999</v>
      </c>
      <c r="Z71" s="13"/>
      <c r="AA71" s="13"/>
      <c r="AB71" s="13"/>
      <c r="AC71" s="13"/>
      <c r="AD71">
        <v>4</v>
      </c>
      <c r="AE71" t="s">
        <v>17</v>
      </c>
    </row>
    <row r="72" spans="1:32" x14ac:dyDescent="0.3">
      <c r="A72" s="1" t="s">
        <v>102</v>
      </c>
      <c r="B72" s="1">
        <v>1012</v>
      </c>
      <c r="C72" s="1" t="s">
        <v>76</v>
      </c>
      <c r="D72" s="8">
        <v>1296.3</v>
      </c>
      <c r="E72" s="8">
        <v>-48.923000000000002</v>
      </c>
      <c r="F72" s="8">
        <v>-488.63900000000001</v>
      </c>
      <c r="G72" t="s">
        <v>40</v>
      </c>
      <c r="H72">
        <v>51011</v>
      </c>
      <c r="I72" t="s">
        <v>19</v>
      </c>
      <c r="J72" s="11">
        <v>1296.2456622301199</v>
      </c>
      <c r="K72" s="11">
        <v>-48.698225882399107</v>
      </c>
      <c r="L72" s="11">
        <v>-488.62673902169331</v>
      </c>
      <c r="M72" s="13">
        <f t="shared" si="9"/>
        <v>5.4337769880021369E-2</v>
      </c>
      <c r="N72" s="13">
        <f t="shared" si="10"/>
        <v>-0.22477411760089439</v>
      </c>
      <c r="O72" s="13">
        <f t="shared" si="11"/>
        <v>-1.2260978306699144E-2</v>
      </c>
      <c r="P72" s="13">
        <f t="shared" si="12"/>
        <v>0.23157359255284746</v>
      </c>
      <c r="Q72">
        <v>4</v>
      </c>
      <c r="R72" t="s">
        <v>17</v>
      </c>
      <c r="S72" t="s">
        <v>18</v>
      </c>
      <c r="T72" t="s">
        <v>40</v>
      </c>
      <c r="U72">
        <v>1012</v>
      </c>
      <c r="V72" s="6" t="s">
        <v>43</v>
      </c>
      <c r="W72" s="11">
        <v>1296.3</v>
      </c>
      <c r="X72" s="11">
        <v>-48.923000000000002</v>
      </c>
      <c r="Y72" s="11">
        <v>-488.63900000000001</v>
      </c>
      <c r="Z72" s="13"/>
      <c r="AA72" s="13"/>
      <c r="AB72" s="13"/>
      <c r="AC72" s="13"/>
      <c r="AD72">
        <v>4</v>
      </c>
      <c r="AE72" t="s">
        <v>17</v>
      </c>
    </row>
    <row r="73" spans="1:32" x14ac:dyDescent="0.3">
      <c r="A73" s="1" t="s">
        <v>102</v>
      </c>
      <c r="B73" s="1">
        <v>1047</v>
      </c>
      <c r="C73" s="1" t="s">
        <v>77</v>
      </c>
      <c r="D73" s="8">
        <v>604.21</v>
      </c>
      <c r="E73" s="8">
        <v>-47.222000000000001</v>
      </c>
      <c r="F73" s="8">
        <v>-1114.2760000000001</v>
      </c>
      <c r="G73" t="s">
        <v>40</v>
      </c>
      <c r="H73">
        <v>51024</v>
      </c>
      <c r="I73" t="s">
        <v>20</v>
      </c>
      <c r="J73" s="11">
        <v>604.12467460910602</v>
      </c>
      <c r="K73" s="11">
        <v>-47.34339516424469</v>
      </c>
      <c r="L73" s="11">
        <v>-1114.230672803041</v>
      </c>
      <c r="M73" s="13">
        <f t="shared" si="9"/>
        <v>8.5325390894013253E-2</v>
      </c>
      <c r="N73" s="13">
        <f t="shared" si="10"/>
        <v>0.12139516424468866</v>
      </c>
      <c r="O73" s="13">
        <f t="shared" si="11"/>
        <v>-4.5327196959078719E-2</v>
      </c>
      <c r="P73" s="13">
        <f t="shared" si="12"/>
        <v>0.15515077511046541</v>
      </c>
      <c r="Q73">
        <v>4</v>
      </c>
      <c r="R73" t="s">
        <v>17</v>
      </c>
      <c r="S73" t="s">
        <v>18</v>
      </c>
      <c r="T73" t="s">
        <v>40</v>
      </c>
      <c r="U73">
        <v>1047</v>
      </c>
      <c r="V73" s="6" t="s">
        <v>44</v>
      </c>
      <c r="W73" s="11">
        <v>604.21</v>
      </c>
      <c r="X73" s="11">
        <v>-47.222000000000001</v>
      </c>
      <c r="Y73" s="11">
        <v>-1114.2760000000001</v>
      </c>
      <c r="Z73" s="13"/>
      <c r="AA73" s="13"/>
      <c r="AB73" s="13"/>
      <c r="AC73" s="13"/>
      <c r="AD73">
        <v>4</v>
      </c>
      <c r="AE73" t="s">
        <v>17</v>
      </c>
    </row>
    <row r="74" spans="1:32" x14ac:dyDescent="0.3">
      <c r="A74" s="1" t="s">
        <v>102</v>
      </c>
      <c r="B74" s="1">
        <v>1002</v>
      </c>
      <c r="C74" s="1" t="s">
        <v>78</v>
      </c>
      <c r="D74" s="8">
        <v>-116.108</v>
      </c>
      <c r="E74" s="8">
        <v>-51.790999999999997</v>
      </c>
      <c r="F74" s="8">
        <v>-282.327</v>
      </c>
      <c r="G74" t="s">
        <v>40</v>
      </c>
      <c r="H74">
        <v>51003</v>
      </c>
      <c r="I74" t="s">
        <v>21</v>
      </c>
      <c r="J74" s="11">
        <v>-116.1216687480007</v>
      </c>
      <c r="K74" s="11">
        <v>-51.748299814934221</v>
      </c>
      <c r="L74" s="11">
        <v>-282.3335238223716</v>
      </c>
      <c r="M74" s="13">
        <f t="shared" si="9"/>
        <v>1.3668748000696951E-2</v>
      </c>
      <c r="N74" s="13">
        <f t="shared" si="10"/>
        <v>-4.2700185065775997E-2</v>
      </c>
      <c r="O74" s="13">
        <f t="shared" si="11"/>
        <v>6.5238223716050925E-3</v>
      </c>
      <c r="P74" s="13">
        <f t="shared" si="12"/>
        <v>4.5306740501765648E-2</v>
      </c>
      <c r="Q74">
        <v>4</v>
      </c>
      <c r="R74" t="s">
        <v>17</v>
      </c>
      <c r="S74" t="s">
        <v>18</v>
      </c>
      <c r="T74" t="s">
        <v>40</v>
      </c>
      <c r="U74">
        <v>1002</v>
      </c>
      <c r="V74" s="6" t="s">
        <v>45</v>
      </c>
      <c r="W74" s="11">
        <v>-116.108</v>
      </c>
      <c r="X74" s="11">
        <v>-51.790999999999997</v>
      </c>
      <c r="Y74" s="11">
        <v>-282.327</v>
      </c>
      <c r="Z74" s="13"/>
      <c r="AA74" s="13"/>
      <c r="AB74" s="13"/>
      <c r="AC74" s="13"/>
      <c r="AD74">
        <v>4</v>
      </c>
      <c r="AE74" t="s">
        <v>17</v>
      </c>
    </row>
    <row r="75" spans="1:32" x14ac:dyDescent="0.3">
      <c r="A75" s="1" t="s">
        <v>102</v>
      </c>
      <c r="B75" s="1">
        <v>501</v>
      </c>
      <c r="C75" s="1" t="s">
        <v>94</v>
      </c>
      <c r="D75" s="8">
        <v>-0.48299999999999998</v>
      </c>
      <c r="E75" s="8">
        <v>-0.16200000000000001</v>
      </c>
      <c r="F75" s="8">
        <v>0.51300000000000001</v>
      </c>
      <c r="G75" t="s">
        <v>40</v>
      </c>
      <c r="H75">
        <v>501</v>
      </c>
      <c r="I75" s="5" t="s">
        <v>10</v>
      </c>
      <c r="J75" s="11">
        <v>-0.48299999999999998</v>
      </c>
      <c r="K75" s="11">
        <v>-0.16200000000000001</v>
      </c>
      <c r="L75" s="11">
        <v>0.51300000000000001</v>
      </c>
      <c r="M75" s="13"/>
      <c r="N75" s="13"/>
      <c r="O75" s="13"/>
      <c r="P75" s="13"/>
      <c r="Q75">
        <v>4</v>
      </c>
      <c r="R75" t="s">
        <v>11</v>
      </c>
      <c r="T75" t="s">
        <v>40</v>
      </c>
      <c r="U75">
        <v>50501</v>
      </c>
      <c r="V75" t="s">
        <v>67</v>
      </c>
      <c r="W75" s="11">
        <v>-0.41034123059785549</v>
      </c>
      <c r="X75" s="11">
        <v>-0.25286026324125432</v>
      </c>
      <c r="Y75" s="11">
        <v>0.50325121219769819</v>
      </c>
      <c r="Z75" s="13">
        <f t="shared" si="13"/>
        <v>-7.2658769402144496E-2</v>
      </c>
      <c r="AA75" s="13">
        <f t="shared" si="14"/>
        <v>9.0860263241254319E-2</v>
      </c>
      <c r="AB75" s="13">
        <f t="shared" si="15"/>
        <v>9.7487878023018171E-3</v>
      </c>
      <c r="AC75" s="13">
        <f t="shared" si="16"/>
        <v>0.11674726151357191</v>
      </c>
      <c r="AD75">
        <v>4</v>
      </c>
      <c r="AE75" t="s">
        <v>11</v>
      </c>
      <c r="AF75" t="s">
        <v>68</v>
      </c>
    </row>
    <row r="76" spans="1:32" x14ac:dyDescent="0.3">
      <c r="A76" s="1" t="s">
        <v>102</v>
      </c>
      <c r="B76" s="1">
        <v>502</v>
      </c>
      <c r="C76" s="1" t="s">
        <v>85</v>
      </c>
      <c r="D76" s="8">
        <v>171.67699999999999</v>
      </c>
      <c r="E76" s="8">
        <v>-0.318</v>
      </c>
      <c r="F76" s="8">
        <v>-174.77799999999999</v>
      </c>
      <c r="G76" t="s">
        <v>40</v>
      </c>
      <c r="H76">
        <v>502</v>
      </c>
      <c r="I76" s="5" t="s">
        <v>12</v>
      </c>
      <c r="J76" s="11">
        <v>171.67699999999999</v>
      </c>
      <c r="K76" s="11">
        <v>-0.318</v>
      </c>
      <c r="L76" s="11">
        <v>-174.77799999999999</v>
      </c>
      <c r="M76" s="13"/>
      <c r="N76" s="13"/>
      <c r="O76" s="13"/>
      <c r="P76" s="13"/>
      <c r="Q76">
        <v>4</v>
      </c>
      <c r="R76" t="s">
        <v>11</v>
      </c>
      <c r="T76" t="s">
        <v>40</v>
      </c>
      <c r="U76">
        <v>50502</v>
      </c>
      <c r="V76" t="s">
        <v>69</v>
      </c>
      <c r="W76" s="11">
        <v>171.72737115692391</v>
      </c>
      <c r="X76" s="11">
        <v>-0.34747966492912669</v>
      </c>
      <c r="Y76" s="11">
        <v>-174.77124298812711</v>
      </c>
      <c r="Z76" s="13">
        <f t="shared" si="13"/>
        <v>-5.0371156923915805E-2</v>
      </c>
      <c r="AA76" s="13">
        <f t="shared" si="14"/>
        <v>2.9479664929126681E-2</v>
      </c>
      <c r="AB76" s="13">
        <f t="shared" si="15"/>
        <v>-6.7570118728781381E-3</v>
      </c>
      <c r="AC76" s="13">
        <f t="shared" si="16"/>
        <v>5.8753393975476423E-2</v>
      </c>
      <c r="AD76">
        <v>4</v>
      </c>
      <c r="AE76" t="s">
        <v>11</v>
      </c>
      <c r="AF76" t="s">
        <v>68</v>
      </c>
    </row>
    <row r="77" spans="1:32" x14ac:dyDescent="0.3">
      <c r="A77" s="1" t="s">
        <v>102</v>
      </c>
      <c r="B77" s="1">
        <v>503</v>
      </c>
      <c r="C77" s="1" t="s">
        <v>95</v>
      </c>
      <c r="D77" s="8">
        <v>170.24299999999999</v>
      </c>
      <c r="E77" s="8">
        <v>-0.84499999999999997</v>
      </c>
      <c r="F77" s="8">
        <v>-0.46500000000000002</v>
      </c>
      <c r="G77" t="s">
        <v>40</v>
      </c>
      <c r="H77">
        <v>503</v>
      </c>
      <c r="I77" s="5" t="s">
        <v>13</v>
      </c>
      <c r="J77" s="11">
        <v>170.24299999999999</v>
      </c>
      <c r="K77" s="11">
        <v>-0.84499999999999997</v>
      </c>
      <c r="L77" s="11">
        <v>-0.46500000000000002</v>
      </c>
      <c r="M77" s="13"/>
      <c r="N77" s="13"/>
      <c r="O77" s="13"/>
      <c r="P77" s="13"/>
      <c r="Q77">
        <v>4</v>
      </c>
      <c r="R77" t="s">
        <v>11</v>
      </c>
      <c r="T77" t="s">
        <v>40</v>
      </c>
      <c r="U77">
        <v>50503</v>
      </c>
      <c r="V77" t="s">
        <v>70</v>
      </c>
      <c r="W77" s="11">
        <v>170.29726498016959</v>
      </c>
      <c r="X77" s="11">
        <v>-0.92177503796113991</v>
      </c>
      <c r="Y77" s="11">
        <v>-0.46857155648284787</v>
      </c>
      <c r="Z77" s="13">
        <f t="shared" si="13"/>
        <v>-5.4264980169591581E-2</v>
      </c>
      <c r="AA77" s="13">
        <f t="shared" si="14"/>
        <v>7.6775037961139936E-2</v>
      </c>
      <c r="AB77" s="13">
        <f t="shared" si="15"/>
        <v>3.5715564828478485E-3</v>
      </c>
      <c r="AC77" s="13">
        <f t="shared" si="16"/>
        <v>9.4084273619191097E-2</v>
      </c>
      <c r="AD77">
        <v>4</v>
      </c>
      <c r="AE77" t="s">
        <v>11</v>
      </c>
      <c r="AF77" t="s">
        <v>68</v>
      </c>
    </row>
    <row r="78" spans="1:32" x14ac:dyDescent="0.3">
      <c r="A78" s="1" t="s">
        <v>102</v>
      </c>
      <c r="B78" s="1">
        <v>504</v>
      </c>
      <c r="C78" s="1" t="s">
        <v>87</v>
      </c>
      <c r="D78" s="8">
        <v>346.01499999999999</v>
      </c>
      <c r="E78" s="8">
        <v>-0.36699999999999999</v>
      </c>
      <c r="F78" s="8">
        <v>0.52700000000000002</v>
      </c>
      <c r="G78" t="s">
        <v>40</v>
      </c>
      <c r="H78">
        <v>504</v>
      </c>
      <c r="I78" s="5" t="s">
        <v>14</v>
      </c>
      <c r="J78" s="11">
        <v>346.01499999999999</v>
      </c>
      <c r="K78" s="11">
        <v>-0.36699999999999999</v>
      </c>
      <c r="L78" s="11">
        <v>0.52700000000000002</v>
      </c>
      <c r="M78" s="13"/>
      <c r="N78" s="13"/>
      <c r="O78" s="13"/>
      <c r="P78" s="13"/>
      <c r="Q78">
        <v>4</v>
      </c>
      <c r="R78" t="s">
        <v>11</v>
      </c>
      <c r="T78" t="s">
        <v>40</v>
      </c>
      <c r="U78">
        <v>50504</v>
      </c>
      <c r="V78" t="s">
        <v>71</v>
      </c>
      <c r="W78" s="11">
        <v>346.05211700308769</v>
      </c>
      <c r="X78" s="11">
        <v>-0.51185174610331452</v>
      </c>
      <c r="Y78" s="11">
        <v>0.52751092352900997</v>
      </c>
      <c r="Z78" s="13">
        <f t="shared" si="13"/>
        <v>-3.711700308770105E-2</v>
      </c>
      <c r="AA78" s="13">
        <f t="shared" si="14"/>
        <v>0.14485174610331453</v>
      </c>
      <c r="AB78" s="13">
        <f t="shared" si="15"/>
        <v>-5.1092352900994342E-4</v>
      </c>
      <c r="AC78" s="13">
        <f t="shared" si="16"/>
        <v>0.14953247577113141</v>
      </c>
      <c r="AD78">
        <v>4</v>
      </c>
      <c r="AE78" t="s">
        <v>11</v>
      </c>
      <c r="AF78" t="s">
        <v>68</v>
      </c>
    </row>
    <row r="79" spans="1:32" x14ac:dyDescent="0.3">
      <c r="A79" s="1" t="s">
        <v>102</v>
      </c>
      <c r="B79" s="1">
        <v>505</v>
      </c>
      <c r="C79" s="1" t="s">
        <v>96</v>
      </c>
      <c r="D79" s="8">
        <v>169.41399999999999</v>
      </c>
      <c r="E79" s="8">
        <v>-0.21</v>
      </c>
      <c r="F79" s="8">
        <v>175.66900000000001</v>
      </c>
      <c r="G79" t="s">
        <v>40</v>
      </c>
      <c r="H79">
        <v>505</v>
      </c>
      <c r="I79" s="5" t="s">
        <v>15</v>
      </c>
      <c r="J79" s="11">
        <v>169.41399999999999</v>
      </c>
      <c r="K79" s="11">
        <v>-0.21</v>
      </c>
      <c r="L79" s="11">
        <v>175.66900000000001</v>
      </c>
      <c r="M79" s="13"/>
      <c r="N79" s="13"/>
      <c r="O79" s="13"/>
      <c r="P79" s="13"/>
      <c r="Q79">
        <v>4</v>
      </c>
      <c r="R79" t="s">
        <v>11</v>
      </c>
      <c r="T79" t="s">
        <v>40</v>
      </c>
      <c r="U79">
        <v>50505</v>
      </c>
      <c r="V79" t="s">
        <v>72</v>
      </c>
      <c r="W79" s="11">
        <v>169.46845044219859</v>
      </c>
      <c r="X79" s="11">
        <v>-0.30871949309735353</v>
      </c>
      <c r="Y79" s="11">
        <v>175.6493991625797</v>
      </c>
      <c r="Z79" s="13">
        <f t="shared" si="13"/>
        <v>-5.4450442198600513E-2</v>
      </c>
      <c r="AA79" s="13">
        <f t="shared" si="14"/>
        <v>9.8719493097353533E-2</v>
      </c>
      <c r="AB79" s="13">
        <f t="shared" si="15"/>
        <v>1.9600837420313155E-2</v>
      </c>
      <c r="AC79" s="13">
        <f t="shared" si="16"/>
        <v>0.1144315594606624</v>
      </c>
      <c r="AD79">
        <v>4</v>
      </c>
      <c r="AE79" t="s">
        <v>11</v>
      </c>
      <c r="AF79" t="s">
        <v>68</v>
      </c>
    </row>
    <row r="80" spans="1:32" x14ac:dyDescent="0.3">
      <c r="A80" s="1" t="s">
        <v>102</v>
      </c>
      <c r="B80" s="1">
        <v>116</v>
      </c>
      <c r="C80" s="1" t="s">
        <v>81</v>
      </c>
      <c r="D80" s="8">
        <v>1010.925</v>
      </c>
      <c r="E80" s="8">
        <v>-627.68299999999999</v>
      </c>
      <c r="F80" s="8">
        <v>-1134.4580000000001</v>
      </c>
      <c r="G80" t="s">
        <v>40</v>
      </c>
      <c r="H80">
        <v>50116</v>
      </c>
      <c r="I80" t="s">
        <v>22</v>
      </c>
      <c r="J80" s="11">
        <v>1010.8623135237081</v>
      </c>
      <c r="K80" s="11">
        <v>-627.68250219648803</v>
      </c>
      <c r="L80" s="11">
        <v>-1134.222438378973</v>
      </c>
      <c r="M80" s="13">
        <f t="shared" si="9"/>
        <v>6.2686476291901272E-2</v>
      </c>
      <c r="N80" s="13">
        <f t="shared" si="10"/>
        <v>-4.978035119620472E-4</v>
      </c>
      <c r="O80" s="13">
        <f t="shared" si="11"/>
        <v>-0.23556162102704548</v>
      </c>
      <c r="P80" s="13">
        <f t="shared" si="12"/>
        <v>0.24376037294671382</v>
      </c>
      <c r="Q80">
        <v>4</v>
      </c>
      <c r="R80" t="s">
        <v>23</v>
      </c>
      <c r="S80" t="s">
        <v>18</v>
      </c>
      <c r="T80" t="s">
        <v>40</v>
      </c>
      <c r="U80">
        <v>50116</v>
      </c>
      <c r="V80" t="s">
        <v>22</v>
      </c>
      <c r="W80" s="11">
        <v>1010.82722615245</v>
      </c>
      <c r="X80" s="11">
        <v>-627.67782758216219</v>
      </c>
      <c r="Y80" s="11">
        <v>-1134.3446258857671</v>
      </c>
      <c r="Z80" s="13">
        <f t="shared" si="13"/>
        <v>9.7773847550001847E-2</v>
      </c>
      <c r="AA80" s="13">
        <f t="shared" si="14"/>
        <v>-5.1724178377980934E-3</v>
      </c>
      <c r="AB80" s="13">
        <f t="shared" si="15"/>
        <v>-0.11337411423301091</v>
      </c>
      <c r="AC80" s="13">
        <f t="shared" si="16"/>
        <v>0.1498004304037194</v>
      </c>
      <c r="AD80">
        <v>4</v>
      </c>
      <c r="AE80" t="s">
        <v>23</v>
      </c>
      <c r="AF80" t="s">
        <v>68</v>
      </c>
    </row>
    <row r="81" spans="1:32" x14ac:dyDescent="0.3">
      <c r="A81" s="1" t="s">
        <v>102</v>
      </c>
      <c r="B81" s="1">
        <v>121</v>
      </c>
      <c r="C81" s="1" t="s">
        <v>93</v>
      </c>
      <c r="D81" s="8">
        <v>634.86900000000003</v>
      </c>
      <c r="E81" s="8">
        <v>-100.497</v>
      </c>
      <c r="F81" s="8">
        <v>96.849000000000004</v>
      </c>
      <c r="G81" t="s">
        <v>40</v>
      </c>
      <c r="H81">
        <v>50121</v>
      </c>
      <c r="I81" t="s">
        <v>24</v>
      </c>
      <c r="J81" s="11">
        <v>634.80583413316481</v>
      </c>
      <c r="K81" s="11">
        <v>-100.3549663427559</v>
      </c>
      <c r="L81" s="11">
        <v>96.843661757945455</v>
      </c>
      <c r="M81" s="13">
        <f t="shared" si="9"/>
        <v>6.3165866835220186E-2</v>
      </c>
      <c r="N81" s="13">
        <f t="shared" si="10"/>
        <v>-0.14203365724409878</v>
      </c>
      <c r="O81" s="13">
        <f t="shared" si="11"/>
        <v>5.338242054548914E-3</v>
      </c>
      <c r="P81" s="13">
        <f t="shared" si="12"/>
        <v>0.15553772324234355</v>
      </c>
      <c r="Q81">
        <v>4</v>
      </c>
      <c r="R81" t="s">
        <v>23</v>
      </c>
      <c r="S81" t="s">
        <v>18</v>
      </c>
      <c r="T81" t="s">
        <v>40</v>
      </c>
      <c r="U81">
        <v>50121</v>
      </c>
      <c r="V81" t="s">
        <v>24</v>
      </c>
      <c r="W81" s="11">
        <v>634.84291284103904</v>
      </c>
      <c r="X81" s="11">
        <v>-100.5355727883869</v>
      </c>
      <c r="Y81" s="11">
        <v>96.82286394743241</v>
      </c>
      <c r="Z81" s="13">
        <f t="shared" si="13"/>
        <v>2.6087158960990564E-2</v>
      </c>
      <c r="AA81" s="13">
        <f t="shared" si="14"/>
        <v>3.8572788386900925E-2</v>
      </c>
      <c r="AB81" s="13">
        <f t="shared" si="15"/>
        <v>2.6136052567593993E-2</v>
      </c>
      <c r="AC81" s="13">
        <f t="shared" si="16"/>
        <v>5.3399373689329593E-2</v>
      </c>
      <c r="AD81">
        <v>4</v>
      </c>
      <c r="AE81" t="s">
        <v>23</v>
      </c>
      <c r="AF81" t="s">
        <v>68</v>
      </c>
    </row>
    <row r="82" spans="1:32" x14ac:dyDescent="0.3">
      <c r="A82" s="1" t="s">
        <v>102</v>
      </c>
      <c r="B82" s="1">
        <v>13</v>
      </c>
      <c r="C82" s="1" t="s">
        <v>80</v>
      </c>
      <c r="D82" s="8">
        <v>279.37700000000001</v>
      </c>
      <c r="E82" s="8">
        <v>2.968</v>
      </c>
      <c r="F82" s="8">
        <v>201.37100000000001</v>
      </c>
      <c r="G82" t="s">
        <v>40</v>
      </c>
      <c r="H82">
        <v>50013</v>
      </c>
      <c r="I82" t="s">
        <v>25</v>
      </c>
      <c r="J82" s="11">
        <v>279.36679096816562</v>
      </c>
      <c r="K82" s="11">
        <v>2.9969317120569139</v>
      </c>
      <c r="L82" s="11">
        <v>201.3659056387456</v>
      </c>
      <c r="M82" s="13">
        <f t="shared" si="9"/>
        <v>1.020903183439259E-2</v>
      </c>
      <c r="N82" s="13">
        <f t="shared" si="10"/>
        <v>-2.8931712056913916E-2</v>
      </c>
      <c r="O82" s="13">
        <f t="shared" si="11"/>
        <v>5.0943612544074313E-3</v>
      </c>
      <c r="P82" s="13">
        <f t="shared" si="12"/>
        <v>3.110017379582029E-2</v>
      </c>
      <c r="Q82">
        <v>4</v>
      </c>
      <c r="R82" t="s">
        <v>23</v>
      </c>
      <c r="S82" t="s">
        <v>18</v>
      </c>
      <c r="T82" t="s">
        <v>40</v>
      </c>
      <c r="U82">
        <v>50013</v>
      </c>
      <c r="V82" t="s">
        <v>25</v>
      </c>
      <c r="W82" s="11">
        <v>279.41926355646962</v>
      </c>
      <c r="X82" s="11">
        <v>2.8517464247733231</v>
      </c>
      <c r="Y82" s="11">
        <v>201.36242324732399</v>
      </c>
      <c r="Z82" s="13">
        <f t="shared" si="13"/>
        <v>-4.2263556469606556E-2</v>
      </c>
      <c r="AA82" s="13">
        <f t="shared" si="14"/>
        <v>0.1162535752266769</v>
      </c>
      <c r="AB82" s="13">
        <f t="shared" si="15"/>
        <v>8.5767526760207602E-3</v>
      </c>
      <c r="AC82" s="13">
        <f t="shared" si="16"/>
        <v>0.12399460732189072</v>
      </c>
      <c r="AD82">
        <v>4</v>
      </c>
      <c r="AE82" t="s">
        <v>23</v>
      </c>
      <c r="AF82" t="s">
        <v>68</v>
      </c>
    </row>
    <row r="83" spans="1:32" x14ac:dyDescent="0.3">
      <c r="A83" s="1" t="s">
        <v>102</v>
      </c>
      <c r="B83" s="1">
        <v>34</v>
      </c>
      <c r="C83" s="1" t="s">
        <v>74</v>
      </c>
      <c r="D83" s="8">
        <v>757.24</v>
      </c>
      <c r="E83" s="8">
        <v>-96.679000000000002</v>
      </c>
      <c r="F83" s="8">
        <v>-665.07399999999996</v>
      </c>
      <c r="G83" t="s">
        <v>40</v>
      </c>
      <c r="H83">
        <v>50034</v>
      </c>
      <c r="I83" t="s">
        <v>26</v>
      </c>
      <c r="J83" s="11">
        <v>757.14834421082082</v>
      </c>
      <c r="K83" s="11">
        <v>-96.620735610085461</v>
      </c>
      <c r="L83" s="11">
        <v>-665.04119765864243</v>
      </c>
      <c r="M83" s="13">
        <f t="shared" si="9"/>
        <v>9.1655789179185376E-2</v>
      </c>
      <c r="N83" s="13">
        <f t="shared" si="10"/>
        <v>-5.826438991454097E-2</v>
      </c>
      <c r="O83" s="13">
        <f t="shared" si="11"/>
        <v>-3.2802341357523801E-2</v>
      </c>
      <c r="P83" s="13">
        <f t="shared" si="12"/>
        <v>0.11345270565618282</v>
      </c>
      <c r="Q83">
        <v>4</v>
      </c>
      <c r="R83" t="s">
        <v>23</v>
      </c>
      <c r="S83" t="s">
        <v>18</v>
      </c>
      <c r="T83" t="s">
        <v>40</v>
      </c>
      <c r="U83">
        <v>50034</v>
      </c>
      <c r="V83" t="s">
        <v>26</v>
      </c>
      <c r="W83" s="11">
        <v>757.19295556680015</v>
      </c>
      <c r="X83" s="11">
        <v>-96.669230130573624</v>
      </c>
      <c r="Y83" s="11">
        <v>-665.06012687133966</v>
      </c>
      <c r="Z83" s="13">
        <f t="shared" si="13"/>
        <v>4.7044433199857849E-2</v>
      </c>
      <c r="AA83" s="13">
        <f t="shared" si="14"/>
        <v>-9.7698694263783636E-3</v>
      </c>
      <c r="AB83" s="13">
        <f t="shared" si="15"/>
        <v>-1.3873128660293332E-2</v>
      </c>
      <c r="AC83" s="13">
        <f t="shared" si="16"/>
        <v>5.001092623146889E-2</v>
      </c>
      <c r="AD83">
        <v>4</v>
      </c>
      <c r="AE83" t="s">
        <v>23</v>
      </c>
      <c r="AF83" t="s">
        <v>68</v>
      </c>
    </row>
    <row r="84" spans="1:32" x14ac:dyDescent="0.3">
      <c r="A84" s="1" t="s">
        <v>102</v>
      </c>
      <c r="B84" s="1">
        <v>37</v>
      </c>
      <c r="C84" s="1" t="s">
        <v>79</v>
      </c>
      <c r="D84" s="8">
        <v>32.749000000000002</v>
      </c>
      <c r="E84" s="8">
        <v>-99.551000000000002</v>
      </c>
      <c r="F84" s="8">
        <v>-390.04899999999998</v>
      </c>
      <c r="G84" t="s">
        <v>40</v>
      </c>
      <c r="H84">
        <v>50037</v>
      </c>
      <c r="I84" t="s">
        <v>27</v>
      </c>
      <c r="J84" s="11">
        <v>32.734573994235276</v>
      </c>
      <c r="K84" s="11">
        <v>-99.608626861092304</v>
      </c>
      <c r="L84" s="11">
        <v>-390.05477106519419</v>
      </c>
      <c r="M84" s="13">
        <f t="shared" si="9"/>
        <v>1.4426005764725858E-2</v>
      </c>
      <c r="N84" s="13">
        <f t="shared" si="10"/>
        <v>5.7626861092302306E-2</v>
      </c>
      <c r="O84" s="13">
        <f t="shared" si="11"/>
        <v>5.7710651942102231E-3</v>
      </c>
      <c r="P84" s="13">
        <f t="shared" si="12"/>
        <v>5.9684754796775652E-2</v>
      </c>
      <c r="Q84">
        <v>4</v>
      </c>
      <c r="R84" t="s">
        <v>23</v>
      </c>
      <c r="S84" t="s">
        <v>18</v>
      </c>
      <c r="T84" t="s">
        <v>40</v>
      </c>
      <c r="U84">
        <v>50037</v>
      </c>
      <c r="V84" t="s">
        <v>27</v>
      </c>
      <c r="W84" s="11">
        <v>32.776215797590758</v>
      </c>
      <c r="X84" s="11">
        <v>-99.597240781459448</v>
      </c>
      <c r="Y84" s="11">
        <v>-390.08087914535571</v>
      </c>
      <c r="Z84" s="13">
        <f t="shared" si="13"/>
        <v>-2.7215797590756097E-2</v>
      </c>
      <c r="AA84" s="13">
        <f t="shared" si="14"/>
        <v>4.6240781459445657E-2</v>
      </c>
      <c r="AB84" s="13">
        <f t="shared" si="15"/>
        <v>3.1879145355730998E-2</v>
      </c>
      <c r="AC84" s="13">
        <f t="shared" si="16"/>
        <v>6.2411452611624445E-2</v>
      </c>
      <c r="AD84">
        <v>4</v>
      </c>
      <c r="AE84" t="s">
        <v>23</v>
      </c>
      <c r="AF84" t="s">
        <v>68</v>
      </c>
    </row>
    <row r="85" spans="1:32" x14ac:dyDescent="0.3">
      <c r="A85" s="1" t="s">
        <v>102</v>
      </c>
      <c r="B85" s="1">
        <v>4</v>
      </c>
      <c r="C85" s="1" t="s">
        <v>88</v>
      </c>
      <c r="D85" s="8">
        <v>1044.7190000000001</v>
      </c>
      <c r="E85" s="8">
        <v>-515.42499999999995</v>
      </c>
      <c r="F85" s="8">
        <v>-1104.2850000000001</v>
      </c>
      <c r="G85" t="s">
        <v>40</v>
      </c>
      <c r="H85">
        <v>50004</v>
      </c>
      <c r="I85" t="s">
        <v>29</v>
      </c>
      <c r="J85" s="11">
        <v>1044.696428891205</v>
      </c>
      <c r="K85" s="11">
        <v>-515.4315484663166</v>
      </c>
      <c r="L85" s="11">
        <v>-1104.1698673020121</v>
      </c>
      <c r="M85" s="13">
        <f t="shared" si="9"/>
        <v>2.2571108795091277E-2</v>
      </c>
      <c r="N85" s="13">
        <f t="shared" si="10"/>
        <v>6.5484663166444079E-3</v>
      </c>
      <c r="O85" s="13">
        <f t="shared" si="11"/>
        <v>-0.1151326979879741</v>
      </c>
      <c r="P85" s="13">
        <f t="shared" si="12"/>
        <v>0.11750691685739238</v>
      </c>
      <c r="Q85">
        <v>4</v>
      </c>
      <c r="R85" t="s">
        <v>23</v>
      </c>
      <c r="S85" t="s">
        <v>18</v>
      </c>
      <c r="T85" t="s">
        <v>40</v>
      </c>
      <c r="U85">
        <v>50004</v>
      </c>
      <c r="V85" t="s">
        <v>29</v>
      </c>
      <c r="W85" s="11">
        <v>1044.678816346046</v>
      </c>
      <c r="X85" s="11">
        <v>-515.43820162187535</v>
      </c>
      <c r="Y85" s="11">
        <v>-1104.2694332840611</v>
      </c>
      <c r="Z85" s="13">
        <f t="shared" si="13"/>
        <v>4.018365395404544E-2</v>
      </c>
      <c r="AA85" s="13">
        <f t="shared" si="14"/>
        <v>1.3201621875396086E-2</v>
      </c>
      <c r="AB85" s="13">
        <f t="shared" si="15"/>
        <v>-1.5566715939030473E-2</v>
      </c>
      <c r="AC85" s="13">
        <f t="shared" si="16"/>
        <v>4.5070295210547194E-2</v>
      </c>
      <c r="AD85">
        <v>4</v>
      </c>
      <c r="AE85" t="s">
        <v>23</v>
      </c>
      <c r="AF85" t="s">
        <v>68</v>
      </c>
    </row>
    <row r="86" spans="1:32" x14ac:dyDescent="0.3">
      <c r="A86" s="1" t="s">
        <v>102</v>
      </c>
      <c r="B86" s="1">
        <v>42</v>
      </c>
      <c r="C86" s="1" t="s">
        <v>90</v>
      </c>
      <c r="D86" s="8">
        <v>1082.674</v>
      </c>
      <c r="E86" s="8">
        <v>-98.686000000000007</v>
      </c>
      <c r="F86" s="8">
        <v>-355.834</v>
      </c>
      <c r="G86" t="s">
        <v>40</v>
      </c>
      <c r="H86">
        <v>50042</v>
      </c>
      <c r="I86" t="s">
        <v>28</v>
      </c>
      <c r="J86" s="11">
        <v>1082.6151915109399</v>
      </c>
      <c r="K86" s="11">
        <v>-98.492292834349144</v>
      </c>
      <c r="L86" s="11">
        <v>-355.83377923279471</v>
      </c>
      <c r="M86" s="13">
        <f t="shared" si="9"/>
        <v>5.8808489060083957E-2</v>
      </c>
      <c r="N86" s="13">
        <f t="shared" si="10"/>
        <v>-0.19370716565086354</v>
      </c>
      <c r="O86" s="13">
        <f t="shared" si="11"/>
        <v>-2.2076720529184968E-4</v>
      </c>
      <c r="P86" s="13">
        <f t="shared" si="12"/>
        <v>0.2024375290013688</v>
      </c>
      <c r="Q86">
        <v>4</v>
      </c>
      <c r="R86" t="s">
        <v>23</v>
      </c>
      <c r="S86" t="s">
        <v>18</v>
      </c>
      <c r="T86" t="s">
        <v>40</v>
      </c>
      <c r="U86">
        <v>50042</v>
      </c>
      <c r="V86" t="s">
        <v>28</v>
      </c>
      <c r="W86" s="11">
        <v>1082.6566847751949</v>
      </c>
      <c r="X86" s="11">
        <v>-98.653718928513683</v>
      </c>
      <c r="Y86" s="11">
        <v>-355.85013058810858</v>
      </c>
      <c r="Z86" s="13">
        <f t="shared" si="13"/>
        <v>1.7315224805088292E-2</v>
      </c>
      <c r="AA86" s="13">
        <f t="shared" si="14"/>
        <v>-3.2281071486323754E-2</v>
      </c>
      <c r="AB86" s="13">
        <f t="shared" si="15"/>
        <v>1.6130588108580923E-2</v>
      </c>
      <c r="AC86" s="13">
        <f t="shared" si="16"/>
        <v>4.0025997290318471E-2</v>
      </c>
      <c r="AD86">
        <v>4</v>
      </c>
      <c r="AE86" t="s">
        <v>23</v>
      </c>
      <c r="AF86" t="s">
        <v>68</v>
      </c>
    </row>
    <row r="87" spans="1:32" x14ac:dyDescent="0.3">
      <c r="A87" s="1" t="s">
        <v>102</v>
      </c>
      <c r="B87" s="1">
        <v>506</v>
      </c>
      <c r="C87" s="1" t="s">
        <v>82</v>
      </c>
      <c r="D87" s="8">
        <v>1147.9680000000001</v>
      </c>
      <c r="E87" s="8">
        <v>-25.507999999999999</v>
      </c>
      <c r="F87" s="8">
        <v>-459.98599999999999</v>
      </c>
      <c r="G87" t="s">
        <v>40</v>
      </c>
      <c r="H87">
        <v>50506</v>
      </c>
      <c r="I87" t="s">
        <v>30</v>
      </c>
      <c r="J87" s="11">
        <v>1147.952976542583</v>
      </c>
      <c r="K87" s="11">
        <v>-25.330416903287151</v>
      </c>
      <c r="L87" s="11">
        <v>-459.98418761555928</v>
      </c>
      <c r="M87" s="13">
        <f t="shared" si="9"/>
        <v>1.5023457417100872E-2</v>
      </c>
      <c r="N87" s="13">
        <f t="shared" si="10"/>
        <v>-0.17758309671284778</v>
      </c>
      <c r="O87" s="13">
        <f t="shared" si="11"/>
        <v>-1.812384440711412E-3</v>
      </c>
      <c r="P87" s="13">
        <f t="shared" si="12"/>
        <v>0.17822666817356214</v>
      </c>
      <c r="Q87">
        <v>4</v>
      </c>
      <c r="R87" t="s">
        <v>23</v>
      </c>
      <c r="S87" t="s">
        <v>18</v>
      </c>
      <c r="T87" t="s">
        <v>40</v>
      </c>
      <c r="U87">
        <v>50506</v>
      </c>
      <c r="V87" t="s">
        <v>30</v>
      </c>
      <c r="W87" s="11">
        <v>1148.0069865735759</v>
      </c>
      <c r="X87" s="11">
        <v>-25.481472367865209</v>
      </c>
      <c r="Y87" s="11">
        <v>-459.98539933514837</v>
      </c>
      <c r="Z87" s="13">
        <f t="shared" si="13"/>
        <v>-3.8986573575812145E-2</v>
      </c>
      <c r="AA87" s="13">
        <f t="shared" si="14"/>
        <v>-2.652763213479048E-2</v>
      </c>
      <c r="AB87" s="13">
        <f t="shared" si="15"/>
        <v>-6.0066485161769378E-4</v>
      </c>
      <c r="AC87" s="13">
        <f t="shared" si="16"/>
        <v>4.715961178937917E-2</v>
      </c>
      <c r="AD87">
        <v>4</v>
      </c>
      <c r="AE87" t="s">
        <v>23</v>
      </c>
      <c r="AF87" t="s">
        <v>68</v>
      </c>
    </row>
    <row r="88" spans="1:32" x14ac:dyDescent="0.3">
      <c r="A88" s="1" t="s">
        <v>102</v>
      </c>
      <c r="B88" s="1">
        <v>507</v>
      </c>
      <c r="C88" s="1" t="s">
        <v>83</v>
      </c>
      <c r="D88" s="8">
        <v>676.10400000000004</v>
      </c>
      <c r="E88" s="8">
        <v>-29.919</v>
      </c>
      <c r="F88" s="8">
        <v>-1093.2950000000001</v>
      </c>
      <c r="G88" t="s">
        <v>40</v>
      </c>
      <c r="H88">
        <v>50507</v>
      </c>
      <c r="I88" t="s">
        <v>31</v>
      </c>
      <c r="J88" s="11">
        <v>675.92768024908787</v>
      </c>
      <c r="K88" s="11">
        <v>-29.976763498798999</v>
      </c>
      <c r="L88" s="11">
        <v>-1093.1639870610579</v>
      </c>
      <c r="M88" s="13">
        <f t="shared" si="9"/>
        <v>0.176319750912171</v>
      </c>
      <c r="N88" s="13">
        <f t="shared" si="10"/>
        <v>5.7763498798998114E-2</v>
      </c>
      <c r="O88" s="13">
        <f t="shared" si="11"/>
        <v>-0.13101293894214905</v>
      </c>
      <c r="P88" s="13">
        <f t="shared" si="12"/>
        <v>0.22713358740065537</v>
      </c>
      <c r="Q88">
        <v>4</v>
      </c>
      <c r="R88" t="s">
        <v>23</v>
      </c>
      <c r="S88" t="s">
        <v>18</v>
      </c>
      <c r="T88" t="s">
        <v>40</v>
      </c>
      <c r="U88">
        <v>50507</v>
      </c>
      <c r="V88" t="s">
        <v>31</v>
      </c>
      <c r="W88" s="11">
        <v>675.98673224216645</v>
      </c>
      <c r="X88" s="11">
        <v>-29.927309739230481</v>
      </c>
      <c r="Y88" s="11">
        <v>-1093.170397052616</v>
      </c>
      <c r="Z88" s="13">
        <f t="shared" si="13"/>
        <v>0.11726775783358789</v>
      </c>
      <c r="AA88" s="13">
        <f t="shared" si="14"/>
        <v>8.3097392304800621E-3</v>
      </c>
      <c r="AB88" s="13">
        <f t="shared" si="15"/>
        <v>-0.12460294738411903</v>
      </c>
      <c r="AC88" s="13">
        <f t="shared" si="16"/>
        <v>0.17130870757263078</v>
      </c>
      <c r="AD88">
        <v>4</v>
      </c>
      <c r="AE88" t="s">
        <v>23</v>
      </c>
      <c r="AF88" t="s">
        <v>68</v>
      </c>
    </row>
    <row r="89" spans="1:32" x14ac:dyDescent="0.3">
      <c r="A89" s="1" t="s">
        <v>102</v>
      </c>
      <c r="B89" s="1">
        <v>509</v>
      </c>
      <c r="C89" s="1" t="s">
        <v>97</v>
      </c>
      <c r="D89" s="8">
        <v>487.27</v>
      </c>
      <c r="E89" s="8">
        <v>-401.637</v>
      </c>
      <c r="F89" s="8">
        <v>440.67500000000001</v>
      </c>
      <c r="G89" t="s">
        <v>40</v>
      </c>
      <c r="H89">
        <v>50509</v>
      </c>
      <c r="I89" t="s">
        <v>32</v>
      </c>
      <c r="J89" s="11">
        <v>487.28733920970939</v>
      </c>
      <c r="K89" s="11">
        <v>-401.50326059347458</v>
      </c>
      <c r="L89" s="11">
        <v>440.63420183549181</v>
      </c>
      <c r="M89" s="13">
        <f t="shared" si="9"/>
        <v>-1.7339209709405168E-2</v>
      </c>
      <c r="N89" s="13">
        <f t="shared" si="10"/>
        <v>-0.1337394065254216</v>
      </c>
      <c r="O89" s="13">
        <f t="shared" si="11"/>
        <v>4.0798164508203172E-2</v>
      </c>
      <c r="P89" s="13">
        <f t="shared" si="12"/>
        <v>0.14089488024182115</v>
      </c>
      <c r="Q89">
        <v>4</v>
      </c>
      <c r="R89" t="s">
        <v>23</v>
      </c>
      <c r="S89" t="s">
        <v>18</v>
      </c>
      <c r="T89" t="s">
        <v>40</v>
      </c>
      <c r="U89">
        <v>50509</v>
      </c>
      <c r="V89" t="s">
        <v>32</v>
      </c>
      <c r="W89" s="11">
        <v>487.27366886736212</v>
      </c>
      <c r="X89" s="11">
        <v>-401.72887442394438</v>
      </c>
      <c r="Y89" s="11">
        <v>440.55219089571528</v>
      </c>
      <c r="Z89" s="13">
        <f t="shared" si="13"/>
        <v>-3.6688673621370071E-3</v>
      </c>
      <c r="AA89" s="13">
        <f t="shared" si="14"/>
        <v>9.1874423944375394E-2</v>
      </c>
      <c r="AB89" s="13">
        <f t="shared" si="15"/>
        <v>0.1228091042847268</v>
      </c>
      <c r="AC89" s="13">
        <f t="shared" si="16"/>
        <v>0.15341592635071716</v>
      </c>
      <c r="AD89">
        <v>4</v>
      </c>
      <c r="AE89" t="s">
        <v>23</v>
      </c>
      <c r="AF89" t="s">
        <v>68</v>
      </c>
    </row>
    <row r="90" spans="1:32" x14ac:dyDescent="0.3">
      <c r="A90" s="1" t="s">
        <v>102</v>
      </c>
      <c r="B90" s="1">
        <v>57</v>
      </c>
      <c r="C90" s="1" t="s">
        <v>91</v>
      </c>
      <c r="D90" s="8">
        <v>381.101</v>
      </c>
      <c r="E90" s="8">
        <v>-100.015</v>
      </c>
      <c r="F90" s="8">
        <v>-131.41</v>
      </c>
      <c r="G90" t="s">
        <v>40</v>
      </c>
      <c r="H90">
        <v>50057</v>
      </c>
      <c r="I90" t="s">
        <v>33</v>
      </c>
      <c r="J90" s="11">
        <v>381.06494105812021</v>
      </c>
      <c r="K90" s="11">
        <v>-99.958577333233265</v>
      </c>
      <c r="L90" s="11">
        <v>-131.42070059450751</v>
      </c>
      <c r="M90" s="13">
        <f t="shared" si="9"/>
        <v>3.6058941879787199E-2</v>
      </c>
      <c r="N90" s="13">
        <f t="shared" si="10"/>
        <v>-5.6422666766735574E-2</v>
      </c>
      <c r="O90" s="13">
        <f t="shared" si="11"/>
        <v>1.0700594507511596E-2</v>
      </c>
      <c r="P90" s="13">
        <f t="shared" si="12"/>
        <v>6.7810525269858701E-2</v>
      </c>
      <c r="Q90">
        <v>4</v>
      </c>
      <c r="R90" t="s">
        <v>23</v>
      </c>
      <c r="S90" t="s">
        <v>18</v>
      </c>
      <c r="T90" t="s">
        <v>40</v>
      </c>
      <c r="U90">
        <v>50057</v>
      </c>
      <c r="V90" t="s">
        <v>33</v>
      </c>
      <c r="W90" s="11">
        <v>381.10416599907722</v>
      </c>
      <c r="X90" s="11">
        <v>-100.0536844939282</v>
      </c>
      <c r="Y90" s="11">
        <v>-131.44371967286571</v>
      </c>
      <c r="Z90" s="13">
        <f t="shared" si="13"/>
        <v>-3.1659990772254787E-3</v>
      </c>
      <c r="AA90" s="13">
        <f t="shared" si="14"/>
        <v>3.8684493928201391E-2</v>
      </c>
      <c r="AB90" s="13">
        <f t="shared" si="15"/>
        <v>3.3719672865714756E-2</v>
      </c>
      <c r="AC90" s="13">
        <f t="shared" si="16"/>
        <v>5.1415269704717707E-2</v>
      </c>
      <c r="AD90">
        <v>4</v>
      </c>
      <c r="AE90" t="s">
        <v>23</v>
      </c>
      <c r="AF90" t="s">
        <v>68</v>
      </c>
    </row>
    <row r="91" spans="1:32" x14ac:dyDescent="0.3">
      <c r="A91" s="1" t="s">
        <v>102</v>
      </c>
      <c r="B91" s="1">
        <v>87</v>
      </c>
      <c r="C91" s="1" t="s">
        <v>86</v>
      </c>
      <c r="D91" s="8">
        <v>1197.5260000000001</v>
      </c>
      <c r="E91" s="8">
        <v>-634.04</v>
      </c>
      <c r="F91" s="8">
        <v>-974.37300000000005</v>
      </c>
      <c r="G91" t="s">
        <v>40</v>
      </c>
      <c r="H91">
        <v>50087</v>
      </c>
      <c r="I91" t="s">
        <v>34</v>
      </c>
      <c r="J91" s="11">
        <v>1197.452859589662</v>
      </c>
      <c r="K91" s="11">
        <v>-633.93527069944776</v>
      </c>
      <c r="L91" s="11">
        <v>-974.16203767771412</v>
      </c>
      <c r="M91" s="13">
        <f t="shared" si="9"/>
        <v>7.3140410338055517E-2</v>
      </c>
      <c r="N91" s="13">
        <f t="shared" si="10"/>
        <v>-0.10472930055220786</v>
      </c>
      <c r="O91" s="13">
        <f t="shared" si="11"/>
        <v>-0.21096232228592271</v>
      </c>
      <c r="P91" s="13">
        <f t="shared" si="12"/>
        <v>0.24662288507525684</v>
      </c>
      <c r="Q91">
        <v>4</v>
      </c>
      <c r="R91" t="s">
        <v>23</v>
      </c>
      <c r="S91" t="s">
        <v>18</v>
      </c>
      <c r="T91" t="s">
        <v>40</v>
      </c>
      <c r="U91">
        <v>50087</v>
      </c>
      <c r="V91" t="s">
        <v>34</v>
      </c>
      <c r="W91" s="11">
        <v>1197.415322418065</v>
      </c>
      <c r="X91" s="11">
        <v>-633.9919187871435</v>
      </c>
      <c r="Y91" s="11">
        <v>-974.28377666891834</v>
      </c>
      <c r="Z91" s="13">
        <f t="shared" si="13"/>
        <v>0.11067758193507871</v>
      </c>
      <c r="AA91" s="13">
        <f t="shared" si="14"/>
        <v>-4.8081212856459388E-2</v>
      </c>
      <c r="AB91" s="13">
        <f t="shared" si="15"/>
        <v>-8.9223331081711876E-2</v>
      </c>
      <c r="AC91" s="13">
        <f t="shared" si="16"/>
        <v>0.15007375847249574</v>
      </c>
      <c r="AD91">
        <v>4</v>
      </c>
      <c r="AE91" t="s">
        <v>23</v>
      </c>
      <c r="AF91" t="s">
        <v>68</v>
      </c>
    </row>
    <row r="92" spans="1:32" x14ac:dyDescent="0.3">
      <c r="A92" s="1" t="s">
        <v>102</v>
      </c>
      <c r="B92" s="1">
        <v>92</v>
      </c>
      <c r="C92" s="1" t="s">
        <v>92</v>
      </c>
      <c r="D92" s="8">
        <v>531.99599999999998</v>
      </c>
      <c r="E92" s="8">
        <v>-96.403000000000006</v>
      </c>
      <c r="F92" s="8">
        <v>-861.58500000000004</v>
      </c>
      <c r="G92" t="s">
        <v>40</v>
      </c>
      <c r="H92">
        <v>50092</v>
      </c>
      <c r="I92" t="s">
        <v>35</v>
      </c>
      <c r="J92" s="11">
        <v>531.92808596563009</v>
      </c>
      <c r="K92" s="11">
        <v>-96.518293680570153</v>
      </c>
      <c r="L92" s="11">
        <v>-861.55268743936892</v>
      </c>
      <c r="M92" s="13">
        <f t="shared" si="9"/>
        <v>6.7914034369891851E-2</v>
      </c>
      <c r="N92" s="13">
        <f t="shared" si="10"/>
        <v>0.11529368057014722</v>
      </c>
      <c r="O92" s="13">
        <f t="shared" si="11"/>
        <v>-3.2312560631112319E-2</v>
      </c>
      <c r="P92" s="13">
        <f t="shared" si="12"/>
        <v>0.13765554990026849</v>
      </c>
      <c r="Q92">
        <v>4</v>
      </c>
      <c r="R92" t="s">
        <v>23</v>
      </c>
      <c r="S92" t="s">
        <v>18</v>
      </c>
      <c r="T92" t="s">
        <v>40</v>
      </c>
      <c r="U92">
        <v>50092</v>
      </c>
      <c r="V92" t="s">
        <v>35</v>
      </c>
      <c r="W92" s="11">
        <v>531.97450732620564</v>
      </c>
      <c r="X92" s="11">
        <v>-96.492110884305106</v>
      </c>
      <c r="Y92" s="11">
        <v>-861.57363794651042</v>
      </c>
      <c r="Z92" s="13">
        <f t="shared" si="13"/>
        <v>2.1492673794341499E-2</v>
      </c>
      <c r="AA92" s="13">
        <f t="shared" si="14"/>
        <v>8.9110884305100058E-2</v>
      </c>
      <c r="AB92" s="13">
        <f t="shared" si="15"/>
        <v>-1.1362053489619939E-2</v>
      </c>
      <c r="AC92" s="13">
        <f t="shared" si="16"/>
        <v>9.236764037241553E-2</v>
      </c>
      <c r="AD92">
        <v>4</v>
      </c>
      <c r="AE92" t="s">
        <v>23</v>
      </c>
      <c r="AF92" t="s">
        <v>68</v>
      </c>
    </row>
    <row r="93" spans="1:32" x14ac:dyDescent="0.3">
      <c r="A93" s="1" t="s">
        <v>102</v>
      </c>
      <c r="B93" s="1">
        <v>96</v>
      </c>
      <c r="C93" s="1" t="s">
        <v>84</v>
      </c>
      <c r="D93" s="8">
        <v>424.245</v>
      </c>
      <c r="E93" s="8">
        <v>2.9089999999999998</v>
      </c>
      <c r="F93" s="8">
        <v>304.62299999999999</v>
      </c>
      <c r="G93" t="s">
        <v>40</v>
      </c>
      <c r="H93">
        <v>50096</v>
      </c>
      <c r="I93" t="s">
        <v>36</v>
      </c>
      <c r="J93" s="11">
        <v>424.22161842865228</v>
      </c>
      <c r="K93" s="11">
        <v>3.000891929769566</v>
      </c>
      <c r="L93" s="11">
        <v>304.61259893702669</v>
      </c>
      <c r="M93" s="13">
        <f t="shared" si="9"/>
        <v>2.3381571347727004E-2</v>
      </c>
      <c r="N93" s="13">
        <f t="shared" si="10"/>
        <v>-9.1891929769566172E-2</v>
      </c>
      <c r="O93" s="13">
        <f t="shared" si="11"/>
        <v>1.0401062973301123E-2</v>
      </c>
      <c r="P93" s="13">
        <f t="shared" si="12"/>
        <v>9.5388713936389272E-2</v>
      </c>
      <c r="Q93">
        <v>4</v>
      </c>
      <c r="R93" t="s">
        <v>23</v>
      </c>
      <c r="S93" t="s">
        <v>18</v>
      </c>
      <c r="T93" t="s">
        <v>40</v>
      </c>
      <c r="U93">
        <v>50096</v>
      </c>
      <c r="V93" t="s">
        <v>36</v>
      </c>
      <c r="W93" s="11">
        <v>424.27314884859692</v>
      </c>
      <c r="X93" s="11">
        <v>2.8122772213555041</v>
      </c>
      <c r="Y93" s="11">
        <v>304.61043092435972</v>
      </c>
      <c r="Z93" s="13">
        <f t="shared" si="13"/>
        <v>-2.8148848596913467E-2</v>
      </c>
      <c r="AA93" s="13">
        <f t="shared" si="14"/>
        <v>9.6722778644495744E-2</v>
      </c>
      <c r="AB93" s="13">
        <f t="shared" si="15"/>
        <v>1.2569075640271876E-2</v>
      </c>
      <c r="AC93" s="13">
        <f t="shared" si="16"/>
        <v>0.10151667473127238</v>
      </c>
      <c r="AD93">
        <v>4</v>
      </c>
      <c r="AE93" t="s">
        <v>23</v>
      </c>
      <c r="AF93" t="s">
        <v>68</v>
      </c>
    </row>
    <row r="94" spans="1:32" x14ac:dyDescent="0.3">
      <c r="A94" s="1" t="s">
        <v>73</v>
      </c>
      <c r="B94" s="1">
        <v>1008</v>
      </c>
      <c r="C94" s="1" t="s">
        <v>75</v>
      </c>
      <c r="D94" s="8">
        <v>575.51379999999995</v>
      </c>
      <c r="E94" s="8">
        <v>-53.621099999999998</v>
      </c>
      <c r="F94" s="8">
        <v>347.23570000000001</v>
      </c>
      <c r="G94" s="15" t="s">
        <v>41</v>
      </c>
      <c r="H94">
        <v>1008</v>
      </c>
      <c r="I94" t="s">
        <v>42</v>
      </c>
      <c r="J94" s="11">
        <v>575.51379999999995</v>
      </c>
      <c r="K94" s="11">
        <v>-53.621099999999998</v>
      </c>
      <c r="L94" s="11">
        <v>347.23570000000001</v>
      </c>
      <c r="M94" s="13"/>
      <c r="N94" s="13"/>
      <c r="O94" s="13"/>
      <c r="P94" s="13"/>
      <c r="Q94">
        <v>5</v>
      </c>
      <c r="R94" t="s">
        <v>17</v>
      </c>
      <c r="T94" s="15" t="s">
        <v>41</v>
      </c>
      <c r="U94">
        <v>1008</v>
      </c>
      <c r="V94" s="6" t="s">
        <v>42</v>
      </c>
      <c r="W94" s="11">
        <v>575.51379999999995</v>
      </c>
      <c r="X94" s="11">
        <v>-53.621099999999998</v>
      </c>
      <c r="Y94" s="11">
        <v>347.23570000000001</v>
      </c>
      <c r="Z94" s="13"/>
      <c r="AA94" s="13"/>
      <c r="AB94" s="13"/>
      <c r="AC94" s="13"/>
      <c r="AD94">
        <v>5</v>
      </c>
      <c r="AE94" t="s">
        <v>17</v>
      </c>
    </row>
    <row r="95" spans="1:32" x14ac:dyDescent="0.3">
      <c r="A95" s="1" t="s">
        <v>73</v>
      </c>
      <c r="B95" s="1">
        <v>1011</v>
      </c>
      <c r="C95" s="1" t="s">
        <v>76</v>
      </c>
      <c r="D95" s="8">
        <v>1296.9179999999999</v>
      </c>
      <c r="E95" s="8">
        <v>-45.9604</v>
      </c>
      <c r="F95" s="8">
        <v>-489.16449999999998</v>
      </c>
      <c r="G95" s="15" t="s">
        <v>41</v>
      </c>
      <c r="H95">
        <v>1011</v>
      </c>
      <c r="I95" t="s">
        <v>43</v>
      </c>
      <c r="J95" s="11">
        <v>1296.9179999999999</v>
      </c>
      <c r="K95" s="11">
        <v>-45.9604</v>
      </c>
      <c r="L95" s="11">
        <v>-489.16449999999998</v>
      </c>
      <c r="M95" s="13"/>
      <c r="N95" s="13"/>
      <c r="O95" s="13"/>
      <c r="P95" s="13"/>
      <c r="Q95">
        <v>5</v>
      </c>
      <c r="R95" t="s">
        <v>17</v>
      </c>
      <c r="T95" s="15" t="s">
        <v>41</v>
      </c>
      <c r="U95">
        <v>1011</v>
      </c>
      <c r="V95" s="6" t="s">
        <v>43</v>
      </c>
      <c r="W95" s="11">
        <v>1296.9179999999999</v>
      </c>
      <c r="X95" s="11">
        <v>-45.9604</v>
      </c>
      <c r="Y95" s="11">
        <v>-489.16449999999998</v>
      </c>
      <c r="Z95" s="13"/>
      <c r="AA95" s="13"/>
      <c r="AB95" s="13"/>
      <c r="AC95" s="13"/>
      <c r="AD95">
        <v>5</v>
      </c>
      <c r="AE95" t="s">
        <v>17</v>
      </c>
    </row>
    <row r="96" spans="1:32" x14ac:dyDescent="0.3">
      <c r="A96" s="1" t="s">
        <v>73</v>
      </c>
      <c r="B96" s="1">
        <v>1024</v>
      </c>
      <c r="C96" s="1" t="s">
        <v>77</v>
      </c>
      <c r="D96" s="8">
        <v>605.06370000000004</v>
      </c>
      <c r="E96" s="8">
        <v>-43.479500000000002</v>
      </c>
      <c r="F96" s="8">
        <v>-1115.0599</v>
      </c>
      <c r="G96" s="15" t="s">
        <v>41</v>
      </c>
      <c r="H96">
        <v>1024</v>
      </c>
      <c r="I96" t="s">
        <v>44</v>
      </c>
      <c r="J96" s="11">
        <v>605.06370000000004</v>
      </c>
      <c r="K96" s="11">
        <v>-43.479500000000002</v>
      </c>
      <c r="L96" s="11">
        <v>-1115.0599</v>
      </c>
      <c r="M96" s="13"/>
      <c r="N96" s="13"/>
      <c r="O96" s="13"/>
      <c r="P96" s="13"/>
      <c r="Q96">
        <v>5</v>
      </c>
      <c r="R96" t="s">
        <v>17</v>
      </c>
      <c r="T96" s="15" t="s">
        <v>41</v>
      </c>
      <c r="U96">
        <v>1024</v>
      </c>
      <c r="V96" s="6" t="s">
        <v>44</v>
      </c>
      <c r="W96" s="11">
        <v>605.06370000000004</v>
      </c>
      <c r="X96" s="11">
        <v>-43.479500000000002</v>
      </c>
      <c r="Y96" s="11">
        <v>-1115.0599</v>
      </c>
      <c r="Z96" s="13"/>
      <c r="AA96" s="13"/>
      <c r="AB96" s="13"/>
      <c r="AC96" s="13"/>
      <c r="AD96">
        <v>5</v>
      </c>
      <c r="AE96" t="s">
        <v>17</v>
      </c>
    </row>
    <row r="97" spans="1:31" x14ac:dyDescent="0.3">
      <c r="A97" s="1" t="s">
        <v>73</v>
      </c>
      <c r="B97" s="1">
        <v>1003</v>
      </c>
      <c r="C97" s="1" t="s">
        <v>78</v>
      </c>
      <c r="D97" s="8">
        <v>-115.5342</v>
      </c>
      <c r="E97" s="8">
        <v>-50.821599999999997</v>
      </c>
      <c r="F97" s="8">
        <v>-283.488</v>
      </c>
      <c r="G97" s="15" t="s">
        <v>41</v>
      </c>
      <c r="H97">
        <v>1003</v>
      </c>
      <c r="I97" t="s">
        <v>45</v>
      </c>
      <c r="J97" s="11">
        <v>-115.5342</v>
      </c>
      <c r="K97" s="11">
        <v>-50.821599999999997</v>
      </c>
      <c r="L97" s="11">
        <v>-283.488</v>
      </c>
      <c r="M97" s="13"/>
      <c r="N97" s="13"/>
      <c r="O97" s="13"/>
      <c r="P97" s="13"/>
      <c r="Q97">
        <v>5</v>
      </c>
      <c r="R97" t="s">
        <v>17</v>
      </c>
      <c r="T97" s="15" t="s">
        <v>41</v>
      </c>
      <c r="U97">
        <v>1003</v>
      </c>
      <c r="V97" s="6" t="s">
        <v>45</v>
      </c>
      <c r="W97" s="11">
        <v>-115.5342</v>
      </c>
      <c r="X97" s="11">
        <v>-50.821599999999997</v>
      </c>
      <c r="Y97" s="11">
        <v>-283.488</v>
      </c>
      <c r="Z97" s="13"/>
      <c r="AA97" s="13"/>
      <c r="AB97" s="13"/>
      <c r="AC97" s="13"/>
      <c r="AD97">
        <v>5</v>
      </c>
      <c r="AE97" t="s">
        <v>17</v>
      </c>
    </row>
    <row r="98" spans="1:31" x14ac:dyDescent="0.3">
      <c r="A98" s="1" t="s">
        <v>73</v>
      </c>
      <c r="B98" s="1">
        <v>501</v>
      </c>
      <c r="C98" s="1" t="s">
        <v>94</v>
      </c>
      <c r="D98" s="8">
        <v>-4.2999999999999997E-2</v>
      </c>
      <c r="E98" s="8">
        <v>5.2400000000000002E-2</v>
      </c>
      <c r="F98" s="8">
        <v>-0.4531</v>
      </c>
      <c r="G98" s="15" t="s">
        <v>41</v>
      </c>
      <c r="H98">
        <v>501</v>
      </c>
      <c r="I98" s="5" t="s">
        <v>10</v>
      </c>
      <c r="J98" s="11">
        <v>-4.2999999999999997E-2</v>
      </c>
      <c r="K98" s="11">
        <v>5.2400000000000002E-2</v>
      </c>
      <c r="L98" s="11">
        <v>-0.4531</v>
      </c>
      <c r="M98" s="13"/>
      <c r="N98" s="13"/>
      <c r="O98" s="13"/>
      <c r="P98" s="13"/>
      <c r="Q98">
        <v>5</v>
      </c>
      <c r="R98" t="s">
        <v>11</v>
      </c>
      <c r="T98" s="15" t="s">
        <v>41</v>
      </c>
      <c r="U98">
        <v>501</v>
      </c>
      <c r="V98" t="s">
        <v>10</v>
      </c>
      <c r="W98" s="11">
        <v>-4.2999999999999997E-2</v>
      </c>
      <c r="X98" s="11">
        <v>5.2400000000000002E-2</v>
      </c>
      <c r="Y98" s="11">
        <v>-0.4531</v>
      </c>
      <c r="Z98" s="13"/>
      <c r="AA98" s="13"/>
      <c r="AB98" s="13"/>
      <c r="AC98" s="13"/>
      <c r="AD98">
        <v>5</v>
      </c>
      <c r="AE98" t="s">
        <v>11</v>
      </c>
    </row>
    <row r="99" spans="1:31" x14ac:dyDescent="0.3">
      <c r="A99" s="1" t="s">
        <v>73</v>
      </c>
      <c r="B99" s="1">
        <v>502</v>
      </c>
      <c r="C99" s="1" t="s">
        <v>85</v>
      </c>
      <c r="D99" s="8">
        <v>172.16810000000001</v>
      </c>
      <c r="E99" s="8">
        <v>0.58689999999999998</v>
      </c>
      <c r="F99" s="8">
        <v>-175.65469999999999</v>
      </c>
      <c r="G99" s="15" t="s">
        <v>41</v>
      </c>
      <c r="H99">
        <v>502</v>
      </c>
      <c r="I99" s="5" t="s">
        <v>12</v>
      </c>
      <c r="J99" s="11">
        <v>172.16810000000001</v>
      </c>
      <c r="K99" s="11">
        <v>0.58689999999999998</v>
      </c>
      <c r="L99" s="11">
        <v>-175.65469999999999</v>
      </c>
      <c r="M99" s="13"/>
      <c r="N99" s="13"/>
      <c r="O99" s="13"/>
      <c r="P99" s="13"/>
      <c r="Q99">
        <v>5</v>
      </c>
      <c r="R99" t="s">
        <v>11</v>
      </c>
      <c r="T99" s="15" t="s">
        <v>41</v>
      </c>
      <c r="U99">
        <v>502</v>
      </c>
      <c r="V99" t="s">
        <v>12</v>
      </c>
      <c r="W99" s="11">
        <v>172.16810000000001</v>
      </c>
      <c r="X99" s="11">
        <v>0.58689999999999998</v>
      </c>
      <c r="Y99" s="11">
        <v>-175.65469999999999</v>
      </c>
      <c r="Z99" s="13"/>
      <c r="AA99" s="13"/>
      <c r="AB99" s="13"/>
      <c r="AC99" s="13"/>
      <c r="AD99">
        <v>5</v>
      </c>
      <c r="AE99" t="s">
        <v>11</v>
      </c>
    </row>
    <row r="100" spans="1:31" x14ac:dyDescent="0.3">
      <c r="A100" s="1" t="s">
        <v>73</v>
      </c>
      <c r="B100" s="1">
        <v>503</v>
      </c>
      <c r="C100" s="1" t="s">
        <v>95</v>
      </c>
      <c r="D100" s="8">
        <v>170.66560000000001</v>
      </c>
      <c r="E100" s="8">
        <v>-0.43719999999999998</v>
      </c>
      <c r="F100" s="8">
        <v>-1.3547</v>
      </c>
      <c r="G100" s="15" t="s">
        <v>41</v>
      </c>
      <c r="H100">
        <v>503</v>
      </c>
      <c r="I100" s="5" t="s">
        <v>13</v>
      </c>
      <c r="J100" s="11">
        <v>170.66560000000001</v>
      </c>
      <c r="K100" s="11">
        <v>-0.43719999999999998</v>
      </c>
      <c r="L100" s="11">
        <v>-1.3547</v>
      </c>
      <c r="M100" s="13"/>
      <c r="N100" s="13"/>
      <c r="O100" s="13"/>
      <c r="P100" s="13"/>
      <c r="Q100">
        <v>5</v>
      </c>
      <c r="R100" t="s">
        <v>11</v>
      </c>
      <c r="T100" s="15" t="s">
        <v>41</v>
      </c>
      <c r="U100">
        <v>503</v>
      </c>
      <c r="V100" t="s">
        <v>13</v>
      </c>
      <c r="W100" s="11">
        <v>170.66560000000001</v>
      </c>
      <c r="X100" s="11">
        <v>-0.43719999999999998</v>
      </c>
      <c r="Y100" s="11">
        <v>-1.3547</v>
      </c>
      <c r="Z100" s="13"/>
      <c r="AA100" s="13"/>
      <c r="AB100" s="13"/>
      <c r="AC100" s="13"/>
      <c r="AD100">
        <v>5</v>
      </c>
      <c r="AE100" t="s">
        <v>11</v>
      </c>
    </row>
    <row r="101" spans="1:31" x14ac:dyDescent="0.3">
      <c r="A101" s="1" t="s">
        <v>73</v>
      </c>
      <c r="B101" s="1">
        <v>504</v>
      </c>
      <c r="C101" s="1" t="s">
        <v>87</v>
      </c>
      <c r="D101" s="8">
        <v>346.41950000000003</v>
      </c>
      <c r="E101" s="8">
        <v>0.1522</v>
      </c>
      <c r="F101" s="8">
        <v>-0.28349999999999997</v>
      </c>
      <c r="G101" s="15" t="s">
        <v>41</v>
      </c>
      <c r="H101">
        <v>504</v>
      </c>
      <c r="I101" s="5" t="s">
        <v>14</v>
      </c>
      <c r="J101" s="11">
        <v>346.41950000000003</v>
      </c>
      <c r="K101" s="11">
        <v>0.1522</v>
      </c>
      <c r="L101" s="11">
        <v>-0.28349999999999997</v>
      </c>
      <c r="M101" s="13"/>
      <c r="N101" s="13"/>
      <c r="O101" s="13"/>
      <c r="P101" s="13"/>
      <c r="Q101">
        <v>5</v>
      </c>
      <c r="R101" t="s">
        <v>11</v>
      </c>
      <c r="T101" s="15" t="s">
        <v>41</v>
      </c>
      <c r="U101">
        <v>504</v>
      </c>
      <c r="V101" t="s">
        <v>14</v>
      </c>
      <c r="W101" s="11">
        <v>346.41950000000003</v>
      </c>
      <c r="X101" s="11">
        <v>0.1522</v>
      </c>
      <c r="Y101" s="11">
        <v>-0.28349999999999997</v>
      </c>
      <c r="Z101" s="13"/>
      <c r="AA101" s="13"/>
      <c r="AB101" s="13"/>
      <c r="AC101" s="13"/>
      <c r="AD101">
        <v>5</v>
      </c>
      <c r="AE101" t="s">
        <v>11</v>
      </c>
    </row>
    <row r="102" spans="1:31" x14ac:dyDescent="0.3">
      <c r="A102" s="1" t="s">
        <v>73</v>
      </c>
      <c r="B102" s="1">
        <v>505</v>
      </c>
      <c r="C102" s="1" t="s">
        <v>96</v>
      </c>
      <c r="D102" s="8">
        <v>169.76240000000001</v>
      </c>
      <c r="E102" s="8">
        <v>-0.27800000000000002</v>
      </c>
      <c r="F102" s="8">
        <v>174.76390000000001</v>
      </c>
      <c r="G102" s="15" t="s">
        <v>41</v>
      </c>
      <c r="H102">
        <v>505</v>
      </c>
      <c r="I102" s="5" t="s">
        <v>15</v>
      </c>
      <c r="J102" s="11">
        <v>169.76240000000001</v>
      </c>
      <c r="K102" s="11">
        <v>-0.27800000000000002</v>
      </c>
      <c r="L102" s="11">
        <v>174.76390000000001</v>
      </c>
      <c r="M102" s="13"/>
      <c r="N102" s="13"/>
      <c r="O102" s="13"/>
      <c r="P102" s="13"/>
      <c r="Q102">
        <v>5</v>
      </c>
      <c r="R102" t="s">
        <v>11</v>
      </c>
      <c r="T102" s="15" t="s">
        <v>41</v>
      </c>
      <c r="U102">
        <v>505</v>
      </c>
      <c r="V102" t="s">
        <v>15</v>
      </c>
      <c r="W102" s="11">
        <v>169.76240000000001</v>
      </c>
      <c r="X102" s="11">
        <v>-0.27800000000000002</v>
      </c>
      <c r="Y102" s="11">
        <v>174.76390000000001</v>
      </c>
      <c r="Z102" s="13"/>
      <c r="AA102" s="13"/>
      <c r="AB102" s="13"/>
      <c r="AC102" s="13"/>
      <c r="AD102">
        <v>5</v>
      </c>
      <c r="AE102" t="s">
        <v>11</v>
      </c>
    </row>
    <row r="103" spans="1:31" x14ac:dyDescent="0.3">
      <c r="A103" s="1" t="s">
        <v>73</v>
      </c>
      <c r="B103" s="1">
        <v>116</v>
      </c>
      <c r="C103" s="1" t="s">
        <v>81</v>
      </c>
      <c r="D103" s="8">
        <v>1012.3197</v>
      </c>
      <c r="E103" s="8">
        <v>-623.40380000000005</v>
      </c>
      <c r="F103" s="8">
        <v>-1136.4845</v>
      </c>
      <c r="G103" s="15" t="s">
        <v>41</v>
      </c>
      <c r="H103">
        <v>116</v>
      </c>
      <c r="I103" t="s">
        <v>46</v>
      </c>
      <c r="J103" s="11">
        <v>1012.3197</v>
      </c>
      <c r="K103" s="11">
        <v>-623.40380000000005</v>
      </c>
      <c r="L103" s="11">
        <v>-1136.4845</v>
      </c>
      <c r="M103" s="13"/>
      <c r="N103" s="13"/>
      <c r="O103" s="13"/>
      <c r="P103" s="13"/>
      <c r="Q103">
        <v>5</v>
      </c>
      <c r="R103" t="s">
        <v>23</v>
      </c>
      <c r="T103" s="15" t="s">
        <v>41</v>
      </c>
      <c r="U103">
        <v>116</v>
      </c>
      <c r="V103" t="s">
        <v>46</v>
      </c>
      <c r="W103" s="11">
        <v>1012.3197</v>
      </c>
      <c r="X103" s="11">
        <v>-623.40380000000005</v>
      </c>
      <c r="Y103" s="11">
        <v>-1136.4845</v>
      </c>
      <c r="Z103" s="13"/>
      <c r="AA103" s="13"/>
      <c r="AB103" s="13"/>
      <c r="AC103" s="13"/>
      <c r="AD103">
        <v>5</v>
      </c>
      <c r="AE103" t="s">
        <v>23</v>
      </c>
    </row>
    <row r="104" spans="1:31" x14ac:dyDescent="0.3">
      <c r="A104" s="1" t="s">
        <v>73</v>
      </c>
      <c r="B104" s="1">
        <v>121</v>
      </c>
      <c r="C104" s="1" t="s">
        <v>93</v>
      </c>
      <c r="D104" s="8">
        <v>635.27350000000001</v>
      </c>
      <c r="E104" s="8">
        <v>-99.819699999999997</v>
      </c>
      <c r="F104" s="8">
        <v>95.876000000000005</v>
      </c>
      <c r="G104" s="15" t="s">
        <v>41</v>
      </c>
      <c r="H104">
        <v>121</v>
      </c>
      <c r="I104" t="s">
        <v>47</v>
      </c>
      <c r="J104" s="11">
        <v>635.27350000000001</v>
      </c>
      <c r="K104" s="11">
        <v>-99.819699999999997</v>
      </c>
      <c r="L104" s="11">
        <v>95.876000000000005</v>
      </c>
      <c r="M104" s="13"/>
      <c r="N104" s="13"/>
      <c r="O104" s="13"/>
      <c r="P104" s="13"/>
      <c r="Q104">
        <v>5</v>
      </c>
      <c r="R104" t="s">
        <v>23</v>
      </c>
      <c r="T104" s="15" t="s">
        <v>41</v>
      </c>
      <c r="U104">
        <v>121</v>
      </c>
      <c r="V104" t="s">
        <v>47</v>
      </c>
      <c r="W104" s="11">
        <v>635.27350000000001</v>
      </c>
      <c r="X104" s="11">
        <v>-99.819699999999997</v>
      </c>
      <c r="Y104" s="11">
        <v>95.876000000000005</v>
      </c>
      <c r="Z104" s="13"/>
      <c r="AA104" s="13"/>
      <c r="AB104" s="13"/>
      <c r="AC104" s="13"/>
      <c r="AD104">
        <v>5</v>
      </c>
      <c r="AE104" t="s">
        <v>23</v>
      </c>
    </row>
    <row r="105" spans="1:31" x14ac:dyDescent="0.3">
      <c r="A105" s="1" t="s">
        <v>73</v>
      </c>
      <c r="B105" s="1">
        <v>13</v>
      </c>
      <c r="C105" s="1" t="s">
        <v>80</v>
      </c>
      <c r="D105" s="8">
        <v>279.69909999999999</v>
      </c>
      <c r="E105" s="8">
        <v>2.9302000000000001</v>
      </c>
      <c r="F105" s="8">
        <v>200.53129999999999</v>
      </c>
      <c r="G105" s="15" t="s">
        <v>41</v>
      </c>
      <c r="H105">
        <v>13</v>
      </c>
      <c r="I105" t="s">
        <v>48</v>
      </c>
      <c r="J105" s="11">
        <v>279.69909999999999</v>
      </c>
      <c r="K105" s="11">
        <v>2.9302000000000001</v>
      </c>
      <c r="L105" s="11">
        <v>200.53129999999999</v>
      </c>
      <c r="M105" s="13"/>
      <c r="N105" s="13"/>
      <c r="O105" s="13"/>
      <c r="P105" s="13"/>
      <c r="Q105">
        <v>5</v>
      </c>
      <c r="R105" t="s">
        <v>23</v>
      </c>
      <c r="T105" s="15" t="s">
        <v>41</v>
      </c>
      <c r="U105">
        <v>13</v>
      </c>
      <c r="V105" t="s">
        <v>48</v>
      </c>
      <c r="W105" s="11">
        <v>279.69909999999999</v>
      </c>
      <c r="X105" s="11">
        <v>2.9302000000000001</v>
      </c>
      <c r="Y105" s="11">
        <v>200.53129999999999</v>
      </c>
      <c r="Z105" s="13"/>
      <c r="AA105" s="13"/>
      <c r="AB105" s="13"/>
      <c r="AC105" s="13"/>
      <c r="AD105">
        <v>5</v>
      </c>
      <c r="AE105" t="s">
        <v>23</v>
      </c>
    </row>
    <row r="106" spans="1:31" x14ac:dyDescent="0.3">
      <c r="A106" s="1" t="s">
        <v>73</v>
      </c>
      <c r="B106" s="1">
        <v>34</v>
      </c>
      <c r="C106" s="1" t="s">
        <v>74</v>
      </c>
      <c r="D106" s="8">
        <v>757.93849999999998</v>
      </c>
      <c r="E106" s="8">
        <v>-93.867000000000004</v>
      </c>
      <c r="F106" s="8">
        <v>-665.94290000000001</v>
      </c>
      <c r="G106" s="15" t="s">
        <v>41</v>
      </c>
      <c r="H106">
        <v>34</v>
      </c>
      <c r="I106" t="s">
        <v>49</v>
      </c>
      <c r="J106" s="11">
        <v>757.93849999999998</v>
      </c>
      <c r="K106" s="11">
        <v>-93.867000000000004</v>
      </c>
      <c r="L106" s="11">
        <v>-665.94290000000001</v>
      </c>
      <c r="M106" s="13"/>
      <c r="N106" s="13"/>
      <c r="O106" s="13"/>
      <c r="P106" s="13"/>
      <c r="Q106">
        <v>5</v>
      </c>
      <c r="R106" t="s">
        <v>23</v>
      </c>
      <c r="T106" s="15" t="s">
        <v>41</v>
      </c>
      <c r="U106">
        <v>34</v>
      </c>
      <c r="V106" t="s">
        <v>49</v>
      </c>
      <c r="W106" s="11">
        <v>757.93849999999998</v>
      </c>
      <c r="X106" s="11">
        <v>-93.867000000000004</v>
      </c>
      <c r="Y106" s="11">
        <v>-665.94290000000001</v>
      </c>
      <c r="Z106" s="13"/>
      <c r="AA106" s="13"/>
      <c r="AB106" s="13"/>
      <c r="AC106" s="13"/>
      <c r="AD106">
        <v>5</v>
      </c>
      <c r="AE106" t="s">
        <v>23</v>
      </c>
    </row>
    <row r="107" spans="1:31" x14ac:dyDescent="0.3">
      <c r="A107" s="1" t="s">
        <v>73</v>
      </c>
      <c r="B107" s="1">
        <v>37</v>
      </c>
      <c r="C107" s="1" t="s">
        <v>79</v>
      </c>
      <c r="D107" s="8">
        <v>33.4101</v>
      </c>
      <c r="E107" s="8">
        <v>-98.252600000000001</v>
      </c>
      <c r="F107" s="8">
        <v>-391.2774</v>
      </c>
      <c r="G107" s="15" t="s">
        <v>41</v>
      </c>
      <c r="H107">
        <v>37</v>
      </c>
      <c r="I107" t="s">
        <v>50</v>
      </c>
      <c r="J107" s="11">
        <v>33.4101</v>
      </c>
      <c r="K107" s="11">
        <v>-98.252600000000001</v>
      </c>
      <c r="L107" s="11">
        <v>-391.2774</v>
      </c>
      <c r="M107" s="13"/>
      <c r="N107" s="13"/>
      <c r="O107" s="13"/>
      <c r="P107" s="13"/>
      <c r="Q107">
        <v>5</v>
      </c>
      <c r="R107" t="s">
        <v>23</v>
      </c>
      <c r="T107" s="15" t="s">
        <v>41</v>
      </c>
      <c r="U107">
        <v>37</v>
      </c>
      <c r="V107" t="s">
        <v>50</v>
      </c>
      <c r="W107" s="11">
        <v>33.4101</v>
      </c>
      <c r="X107" s="11">
        <v>-98.252600000000001</v>
      </c>
      <c r="Y107" s="11">
        <v>-391.2774</v>
      </c>
      <c r="Z107" s="13"/>
      <c r="AA107" s="13"/>
      <c r="AB107" s="13"/>
      <c r="AC107" s="13"/>
      <c r="AD107">
        <v>5</v>
      </c>
      <c r="AE107" t="s">
        <v>23</v>
      </c>
    </row>
    <row r="108" spans="1:31" x14ac:dyDescent="0.3">
      <c r="A108" s="1" t="s">
        <v>73</v>
      </c>
      <c r="B108" s="1">
        <v>4</v>
      </c>
      <c r="C108" s="1" t="s">
        <v>88</v>
      </c>
      <c r="D108" s="8">
        <v>1046.0423000000001</v>
      </c>
      <c r="E108" s="8">
        <v>-511.20690000000002</v>
      </c>
      <c r="F108" s="8">
        <v>-1106.1065000000001</v>
      </c>
      <c r="G108" s="15" t="s">
        <v>41</v>
      </c>
      <c r="H108">
        <v>4</v>
      </c>
      <c r="I108" t="s">
        <v>51</v>
      </c>
      <c r="J108" s="11">
        <v>1046.0423000000001</v>
      </c>
      <c r="K108" s="11">
        <v>-511.20690000000002</v>
      </c>
      <c r="L108" s="11">
        <v>-1106.1065000000001</v>
      </c>
      <c r="M108" s="13"/>
      <c r="N108" s="13"/>
      <c r="O108" s="13"/>
      <c r="P108" s="13"/>
      <c r="Q108">
        <v>5</v>
      </c>
      <c r="R108" t="s">
        <v>23</v>
      </c>
      <c r="T108" s="15" t="s">
        <v>41</v>
      </c>
      <c r="U108">
        <v>4</v>
      </c>
      <c r="V108" t="s">
        <v>51</v>
      </c>
      <c r="W108" s="11">
        <v>1046.0423000000001</v>
      </c>
      <c r="X108" s="11">
        <v>-511.20690000000002</v>
      </c>
      <c r="Y108" s="11">
        <v>-1106.1065000000001</v>
      </c>
      <c r="Z108" s="13"/>
      <c r="AA108" s="13"/>
      <c r="AB108" s="13"/>
      <c r="AC108" s="13"/>
      <c r="AD108">
        <v>5</v>
      </c>
      <c r="AE108" t="s">
        <v>23</v>
      </c>
    </row>
    <row r="109" spans="1:31" x14ac:dyDescent="0.3">
      <c r="A109" s="1" t="s">
        <v>73</v>
      </c>
      <c r="B109" s="1">
        <v>42</v>
      </c>
      <c r="C109" s="1" t="s">
        <v>90</v>
      </c>
      <c r="D109" s="8">
        <v>1083.2746</v>
      </c>
      <c r="E109" s="8">
        <v>-96.309700000000007</v>
      </c>
      <c r="F109" s="8">
        <v>-356.6019</v>
      </c>
      <c r="G109" s="15" t="s">
        <v>41</v>
      </c>
      <c r="H109">
        <v>42</v>
      </c>
      <c r="I109" t="s">
        <v>52</v>
      </c>
      <c r="J109" s="11">
        <v>1083.2746</v>
      </c>
      <c r="K109" s="11">
        <v>-96.309700000000007</v>
      </c>
      <c r="L109" s="11">
        <v>-356.6019</v>
      </c>
      <c r="M109" s="13"/>
      <c r="N109" s="13"/>
      <c r="O109" s="13"/>
      <c r="P109" s="13"/>
      <c r="Q109">
        <v>5</v>
      </c>
      <c r="R109" t="s">
        <v>23</v>
      </c>
      <c r="T109" s="15" t="s">
        <v>41</v>
      </c>
      <c r="U109">
        <v>42</v>
      </c>
      <c r="V109" t="s">
        <v>52</v>
      </c>
      <c r="W109" s="11">
        <v>1083.2746</v>
      </c>
      <c r="X109" s="11">
        <v>-96.309700000000007</v>
      </c>
      <c r="Y109" s="11">
        <v>-356.6019</v>
      </c>
      <c r="Z109" s="13"/>
      <c r="AA109" s="13"/>
      <c r="AB109" s="13"/>
      <c r="AC109" s="13"/>
      <c r="AD109">
        <v>5</v>
      </c>
      <c r="AE109" t="s">
        <v>23</v>
      </c>
    </row>
    <row r="110" spans="1:31" x14ac:dyDescent="0.3">
      <c r="A110" s="1" t="s">
        <v>73</v>
      </c>
      <c r="B110" s="1">
        <v>506</v>
      </c>
      <c r="C110" s="1" t="s">
        <v>82</v>
      </c>
      <c r="D110" s="8">
        <v>1148.5925999999999</v>
      </c>
      <c r="E110" s="8">
        <v>-22.802199999999999</v>
      </c>
      <c r="F110" s="8">
        <v>-460.52109999999999</v>
      </c>
      <c r="G110" s="15" t="s">
        <v>41</v>
      </c>
      <c r="H110">
        <v>506</v>
      </c>
      <c r="I110" t="s">
        <v>53</v>
      </c>
      <c r="J110" s="11">
        <v>1148.5925999999999</v>
      </c>
      <c r="K110" s="11">
        <v>-22.802199999999999</v>
      </c>
      <c r="L110" s="11">
        <v>-460.52109999999999</v>
      </c>
      <c r="M110" s="13"/>
      <c r="N110" s="13"/>
      <c r="O110" s="13"/>
      <c r="P110" s="13"/>
      <c r="Q110">
        <v>5</v>
      </c>
      <c r="R110" t="s">
        <v>23</v>
      </c>
      <c r="T110" s="15" t="s">
        <v>41</v>
      </c>
      <c r="U110">
        <v>506</v>
      </c>
      <c r="V110" t="s">
        <v>53</v>
      </c>
      <c r="W110" s="11">
        <v>1148.5925999999999</v>
      </c>
      <c r="X110" s="11">
        <v>-22.802199999999999</v>
      </c>
      <c r="Y110" s="11">
        <v>-460.52109999999999</v>
      </c>
      <c r="Z110" s="13"/>
      <c r="AA110" s="13"/>
      <c r="AB110" s="13"/>
      <c r="AC110" s="13"/>
      <c r="AD110">
        <v>5</v>
      </c>
      <c r="AE110" t="s">
        <v>23</v>
      </c>
    </row>
    <row r="111" spans="1:31" x14ac:dyDescent="0.3">
      <c r="A111" s="1" t="s">
        <v>73</v>
      </c>
      <c r="B111" s="1">
        <v>507</v>
      </c>
      <c r="C111" s="1" t="s">
        <v>83</v>
      </c>
      <c r="D111" s="8">
        <v>676.8424</v>
      </c>
      <c r="E111" s="8">
        <v>-26.1083</v>
      </c>
      <c r="F111" s="8">
        <v>-1093.9142999999999</v>
      </c>
      <c r="G111" s="15" t="s">
        <v>41</v>
      </c>
      <c r="H111">
        <v>507</v>
      </c>
      <c r="I111" t="s">
        <v>54</v>
      </c>
      <c r="J111" s="11">
        <v>676.8424</v>
      </c>
      <c r="K111" s="11">
        <v>-26.1083</v>
      </c>
      <c r="L111" s="11">
        <v>-1093.9142999999999</v>
      </c>
      <c r="M111" s="13"/>
      <c r="N111" s="13"/>
      <c r="O111" s="13"/>
      <c r="P111" s="13"/>
      <c r="Q111">
        <v>5</v>
      </c>
      <c r="R111" t="s">
        <v>23</v>
      </c>
      <c r="T111" s="15" t="s">
        <v>41</v>
      </c>
      <c r="U111">
        <v>507</v>
      </c>
      <c r="V111" t="s">
        <v>54</v>
      </c>
      <c r="W111" s="11">
        <v>676.8424</v>
      </c>
      <c r="X111" s="11">
        <v>-26.1083</v>
      </c>
      <c r="Y111" s="11">
        <v>-1093.9142999999999</v>
      </c>
      <c r="Z111" s="13"/>
      <c r="AA111" s="13"/>
      <c r="AB111" s="13"/>
      <c r="AC111" s="13"/>
      <c r="AD111">
        <v>5</v>
      </c>
      <c r="AE111" t="s">
        <v>23</v>
      </c>
    </row>
    <row r="112" spans="1:31" x14ac:dyDescent="0.3">
      <c r="A112" s="1" t="s">
        <v>73</v>
      </c>
      <c r="B112" s="1">
        <v>509</v>
      </c>
      <c r="C112" s="1" t="s">
        <v>97</v>
      </c>
      <c r="D112" s="8">
        <v>487.87270000000001</v>
      </c>
      <c r="E112" s="8">
        <v>-402.04880000000003</v>
      </c>
      <c r="F112" s="8">
        <v>438.76740000000001</v>
      </c>
      <c r="G112" s="15" t="s">
        <v>41</v>
      </c>
      <c r="H112">
        <v>509</v>
      </c>
      <c r="I112" t="s">
        <v>55</v>
      </c>
      <c r="J112" s="11">
        <v>487.87270000000001</v>
      </c>
      <c r="K112" s="11">
        <v>-402.04880000000003</v>
      </c>
      <c r="L112" s="11">
        <v>438.76740000000001</v>
      </c>
      <c r="M112" s="13"/>
      <c r="N112" s="13"/>
      <c r="O112" s="13"/>
      <c r="P112" s="13"/>
      <c r="Q112">
        <v>5</v>
      </c>
      <c r="R112" t="s">
        <v>23</v>
      </c>
      <c r="T112" s="15" t="s">
        <v>41</v>
      </c>
      <c r="U112">
        <v>509</v>
      </c>
      <c r="V112" t="s">
        <v>55</v>
      </c>
      <c r="W112" s="11">
        <v>487.87270000000001</v>
      </c>
      <c r="X112" s="11">
        <v>-402.04880000000003</v>
      </c>
      <c r="Y112" s="11">
        <v>438.76740000000001</v>
      </c>
      <c r="Z112" s="13"/>
      <c r="AA112" s="13"/>
      <c r="AB112" s="13"/>
      <c r="AC112" s="13"/>
      <c r="AD112">
        <v>5</v>
      </c>
      <c r="AE112" t="s">
        <v>23</v>
      </c>
    </row>
    <row r="113" spans="1:32" x14ac:dyDescent="0.3">
      <c r="A113" s="1" t="s">
        <v>73</v>
      </c>
      <c r="B113" s="1">
        <v>57</v>
      </c>
      <c r="C113" s="1" t="s">
        <v>91</v>
      </c>
      <c r="D113" s="8">
        <v>381.63</v>
      </c>
      <c r="E113" s="8">
        <v>-99.013499999999993</v>
      </c>
      <c r="F113" s="8">
        <v>-132.49549999999999</v>
      </c>
      <c r="G113" s="15" t="s">
        <v>41</v>
      </c>
      <c r="H113">
        <v>57</v>
      </c>
      <c r="I113" t="s">
        <v>56</v>
      </c>
      <c r="J113" s="11">
        <v>381.63</v>
      </c>
      <c r="K113" s="11">
        <v>-99.013499999999993</v>
      </c>
      <c r="L113" s="11">
        <v>-132.49549999999999</v>
      </c>
      <c r="M113" s="13"/>
      <c r="N113" s="13"/>
      <c r="O113" s="13"/>
      <c r="P113" s="13"/>
      <c r="Q113">
        <v>5</v>
      </c>
      <c r="R113" t="s">
        <v>23</v>
      </c>
      <c r="T113" s="15" t="s">
        <v>41</v>
      </c>
      <c r="U113">
        <v>57</v>
      </c>
      <c r="V113" t="s">
        <v>56</v>
      </c>
      <c r="W113" s="11">
        <v>381.63</v>
      </c>
      <c r="X113" s="11">
        <v>-99.013499999999993</v>
      </c>
      <c r="Y113" s="11">
        <v>-132.49549999999999</v>
      </c>
      <c r="Z113" s="13"/>
      <c r="AA113" s="13"/>
      <c r="AB113" s="13"/>
      <c r="AC113" s="13"/>
      <c r="AD113">
        <v>5</v>
      </c>
      <c r="AE113" t="s">
        <v>23</v>
      </c>
    </row>
    <row r="114" spans="1:32" x14ac:dyDescent="0.3">
      <c r="A114" s="1" t="s">
        <v>73</v>
      </c>
      <c r="B114" s="1">
        <v>87</v>
      </c>
      <c r="C114" s="1" t="s">
        <v>86</v>
      </c>
      <c r="D114" s="8">
        <v>1198.8471999999999</v>
      </c>
      <c r="E114" s="8">
        <v>-629.93629999999996</v>
      </c>
      <c r="F114" s="8">
        <v>-976.36180000000002</v>
      </c>
      <c r="G114" s="15" t="s">
        <v>41</v>
      </c>
      <c r="H114">
        <v>87</v>
      </c>
      <c r="I114" t="s">
        <v>57</v>
      </c>
      <c r="J114" s="11">
        <v>1198.8471999999999</v>
      </c>
      <c r="K114" s="11">
        <v>-629.93629999999996</v>
      </c>
      <c r="L114" s="11">
        <v>-976.36180000000002</v>
      </c>
      <c r="M114" s="13"/>
      <c r="N114" s="13"/>
      <c r="O114" s="13"/>
      <c r="P114" s="13"/>
      <c r="Q114">
        <v>5</v>
      </c>
      <c r="R114" t="s">
        <v>23</v>
      </c>
      <c r="T114" s="15" t="s">
        <v>41</v>
      </c>
      <c r="U114">
        <v>87</v>
      </c>
      <c r="V114" t="s">
        <v>57</v>
      </c>
      <c r="W114" s="11">
        <v>1198.8471999999999</v>
      </c>
      <c r="X114" s="11">
        <v>-629.93629999999996</v>
      </c>
      <c r="Y114" s="11">
        <v>-976.36180000000002</v>
      </c>
      <c r="Z114" s="13"/>
      <c r="AA114" s="13"/>
      <c r="AB114" s="13"/>
      <c r="AC114" s="13"/>
      <c r="AD114">
        <v>5</v>
      </c>
      <c r="AE114" t="s">
        <v>23</v>
      </c>
    </row>
    <row r="115" spans="1:32" x14ac:dyDescent="0.3">
      <c r="A115" s="1" t="s">
        <v>73</v>
      </c>
      <c r="B115" s="1">
        <v>92</v>
      </c>
      <c r="C115" s="1" t="s">
        <v>92</v>
      </c>
      <c r="D115" s="8">
        <v>532.80229999999995</v>
      </c>
      <c r="E115" s="8">
        <v>-93.417699999999996</v>
      </c>
      <c r="F115" s="8">
        <v>-862.55020000000002</v>
      </c>
      <c r="G115" s="15" t="s">
        <v>41</v>
      </c>
      <c r="H115">
        <v>92</v>
      </c>
      <c r="I115" t="s">
        <v>58</v>
      </c>
      <c r="J115" s="11">
        <v>532.80229999999995</v>
      </c>
      <c r="K115" s="11">
        <v>-93.417699999999996</v>
      </c>
      <c r="L115" s="11">
        <v>-862.55020000000002</v>
      </c>
      <c r="M115" s="13"/>
      <c r="N115" s="13"/>
      <c r="O115" s="13"/>
      <c r="P115" s="13"/>
      <c r="Q115">
        <v>5</v>
      </c>
      <c r="R115" t="s">
        <v>23</v>
      </c>
      <c r="T115" s="15" t="s">
        <v>41</v>
      </c>
      <c r="U115">
        <v>92</v>
      </c>
      <c r="V115" t="s">
        <v>58</v>
      </c>
      <c r="W115" s="11">
        <v>532.80229999999995</v>
      </c>
      <c r="X115" s="11">
        <v>-93.417699999999996</v>
      </c>
      <c r="Y115" s="11">
        <v>-862.55020000000002</v>
      </c>
      <c r="Z115" s="13"/>
      <c r="AA115" s="13"/>
      <c r="AB115" s="13"/>
      <c r="AC115" s="13"/>
      <c r="AD115">
        <v>5</v>
      </c>
      <c r="AE115" t="s">
        <v>23</v>
      </c>
    </row>
    <row r="116" spans="1:32" x14ac:dyDescent="0.3">
      <c r="A116" s="1" t="s">
        <v>73</v>
      </c>
      <c r="B116" s="1">
        <v>96</v>
      </c>
      <c r="C116" s="1" t="s">
        <v>84</v>
      </c>
      <c r="D116" s="8">
        <v>424.50970000000001</v>
      </c>
      <c r="E116" s="8">
        <v>2.7751999999999999</v>
      </c>
      <c r="F116" s="8">
        <v>303.8399</v>
      </c>
      <c r="G116" s="15" t="s">
        <v>41</v>
      </c>
      <c r="H116">
        <v>96</v>
      </c>
      <c r="I116" t="s">
        <v>59</v>
      </c>
      <c r="J116" s="11">
        <v>424.50970000000001</v>
      </c>
      <c r="K116" s="11">
        <v>2.7751999999999999</v>
      </c>
      <c r="L116" s="11">
        <v>303.8399</v>
      </c>
      <c r="M116" s="13"/>
      <c r="N116" s="13"/>
      <c r="O116" s="13"/>
      <c r="P116" s="13"/>
      <c r="Q116">
        <v>5</v>
      </c>
      <c r="R116" t="s">
        <v>23</v>
      </c>
      <c r="T116" s="15" t="s">
        <v>41</v>
      </c>
      <c r="U116">
        <v>96</v>
      </c>
      <c r="V116" t="s">
        <v>59</v>
      </c>
      <c r="W116" s="11">
        <v>424.50970000000001</v>
      </c>
      <c r="X116" s="11">
        <v>2.7751999999999999</v>
      </c>
      <c r="Y116" s="11">
        <v>303.8399</v>
      </c>
      <c r="Z116" s="13"/>
      <c r="AA116" s="13"/>
      <c r="AB116" s="13"/>
      <c r="AC116" s="13"/>
      <c r="AD116">
        <v>5</v>
      </c>
      <c r="AE116" t="s">
        <v>23</v>
      </c>
    </row>
    <row r="117" spans="1:32" x14ac:dyDescent="0.3">
      <c r="A117" s="1" t="s">
        <v>108</v>
      </c>
      <c r="B117" s="1">
        <v>1002</v>
      </c>
      <c r="C117" s="1" t="s">
        <v>75</v>
      </c>
      <c r="D117" s="8">
        <v>575.60109999999997</v>
      </c>
      <c r="E117" s="8">
        <v>-52.7121</v>
      </c>
      <c r="F117" s="8">
        <v>347.5188</v>
      </c>
      <c r="G117" t="s">
        <v>60</v>
      </c>
      <c r="H117">
        <v>51008</v>
      </c>
      <c r="I117" t="s">
        <v>16</v>
      </c>
      <c r="J117" s="11">
        <v>575.59054957283604</v>
      </c>
      <c r="K117" s="11">
        <v>-52.671074357228889</v>
      </c>
      <c r="L117" s="11">
        <v>347.52051926657089</v>
      </c>
      <c r="M117" s="13">
        <f t="shared" si="9"/>
        <v>1.0550427163934728E-2</v>
      </c>
      <c r="N117" s="13">
        <f t="shared" si="10"/>
        <v>-4.1025642771110427E-2</v>
      </c>
      <c r="O117" s="13">
        <f t="shared" si="11"/>
        <v>-1.719266570887612E-3</v>
      </c>
      <c r="P117" s="13">
        <f t="shared" si="12"/>
        <v>4.2395409606064999E-2</v>
      </c>
      <c r="Q117">
        <v>6</v>
      </c>
      <c r="R117" t="s">
        <v>17</v>
      </c>
      <c r="S117" t="s">
        <v>18</v>
      </c>
      <c r="T117" t="s">
        <v>60</v>
      </c>
      <c r="U117">
        <v>1002</v>
      </c>
      <c r="V117" s="6" t="s">
        <v>42</v>
      </c>
      <c r="W117" s="11">
        <v>575.60109999999997</v>
      </c>
      <c r="X117" s="11">
        <v>-52.7121</v>
      </c>
      <c r="Y117" s="11">
        <v>347.5188</v>
      </c>
      <c r="Z117" s="13"/>
      <c r="AA117" s="13"/>
      <c r="AB117" s="13"/>
      <c r="AC117" s="13"/>
      <c r="AD117">
        <v>6</v>
      </c>
      <c r="AE117" t="s">
        <v>17</v>
      </c>
    </row>
    <row r="118" spans="1:32" x14ac:dyDescent="0.3">
      <c r="A118" s="1" t="s">
        <v>108</v>
      </c>
      <c r="B118" s="1">
        <v>1009</v>
      </c>
      <c r="C118" s="1" t="s">
        <v>76</v>
      </c>
      <c r="D118" s="8">
        <v>1296.8766000000001</v>
      </c>
      <c r="E118" s="8">
        <v>-46.634399999999999</v>
      </c>
      <c r="F118" s="8">
        <v>-489.04059999999998</v>
      </c>
      <c r="G118" t="s">
        <v>60</v>
      </c>
      <c r="H118">
        <v>51011</v>
      </c>
      <c r="I118" t="s">
        <v>19</v>
      </c>
      <c r="J118" s="11">
        <v>1296.8680286535439</v>
      </c>
      <c r="K118" s="11">
        <v>-46.695201124219587</v>
      </c>
      <c r="L118" s="11">
        <v>-489.00269485976253</v>
      </c>
      <c r="M118" s="13">
        <f t="shared" si="9"/>
        <v>8.5713464561649744E-3</v>
      </c>
      <c r="N118" s="13">
        <f t="shared" si="10"/>
        <v>6.0801124219587166E-2</v>
      </c>
      <c r="O118" s="13">
        <f t="shared" si="11"/>
        <v>-3.7905140237455726E-2</v>
      </c>
      <c r="P118" s="13">
        <f t="shared" si="12"/>
        <v>7.2159852708126193E-2</v>
      </c>
      <c r="Q118">
        <v>6</v>
      </c>
      <c r="R118" t="s">
        <v>17</v>
      </c>
      <c r="S118" t="s">
        <v>18</v>
      </c>
      <c r="T118" t="s">
        <v>60</v>
      </c>
      <c r="U118">
        <v>1009</v>
      </c>
      <c r="V118" s="6" t="s">
        <v>43</v>
      </c>
      <c r="W118" s="11">
        <v>1296.8766000000001</v>
      </c>
      <c r="X118" s="11">
        <v>-46.634399999999999</v>
      </c>
      <c r="Y118" s="11">
        <v>-489.04059999999998</v>
      </c>
      <c r="Z118" s="13"/>
      <c r="AA118" s="13"/>
      <c r="AB118" s="13"/>
      <c r="AC118" s="13"/>
      <c r="AD118">
        <v>6</v>
      </c>
      <c r="AE118" t="s">
        <v>17</v>
      </c>
    </row>
    <row r="119" spans="1:32" x14ac:dyDescent="0.3">
      <c r="A119" s="1" t="s">
        <v>108</v>
      </c>
      <c r="B119" s="1">
        <v>1016</v>
      </c>
      <c r="C119" s="1" t="s">
        <v>77</v>
      </c>
      <c r="D119" s="8">
        <v>604.92859999999996</v>
      </c>
      <c r="E119" s="8">
        <v>-45.104599999999998</v>
      </c>
      <c r="F119" s="8">
        <v>-1114.8501000000001</v>
      </c>
      <c r="G119" t="s">
        <v>60</v>
      </c>
      <c r="H119">
        <v>51024</v>
      </c>
      <c r="I119" t="s">
        <v>20</v>
      </c>
      <c r="J119" s="11">
        <v>604.91874146621478</v>
      </c>
      <c r="K119" s="11">
        <v>-45.40829991260884</v>
      </c>
      <c r="L119" s="11">
        <v>-1114.796676039414</v>
      </c>
      <c r="M119" s="13">
        <f t="shared" si="9"/>
        <v>9.8585337851773147E-3</v>
      </c>
      <c r="N119" s="13">
        <f t="shared" si="10"/>
        <v>0.30369991260884177</v>
      </c>
      <c r="O119" s="13">
        <f t="shared" si="11"/>
        <v>-5.342396058608756E-2</v>
      </c>
      <c r="P119" s="13">
        <f t="shared" si="12"/>
        <v>0.30852057819814133</v>
      </c>
      <c r="Q119">
        <v>6</v>
      </c>
      <c r="R119" t="s">
        <v>17</v>
      </c>
      <c r="S119" t="s">
        <v>18</v>
      </c>
      <c r="T119" t="s">
        <v>60</v>
      </c>
      <c r="U119">
        <v>1016</v>
      </c>
      <c r="V119" s="6" t="s">
        <v>44</v>
      </c>
      <c r="W119" s="11">
        <v>604.92859999999996</v>
      </c>
      <c r="X119" s="11">
        <v>-45.104599999999998</v>
      </c>
      <c r="Y119" s="11">
        <v>-1114.8501000000001</v>
      </c>
      <c r="Z119" s="13"/>
      <c r="AA119" s="13"/>
      <c r="AB119" s="13"/>
      <c r="AC119" s="13"/>
      <c r="AD119">
        <v>6</v>
      </c>
      <c r="AE119" t="s">
        <v>17</v>
      </c>
    </row>
    <row r="120" spans="1:32" x14ac:dyDescent="0.3">
      <c r="A120" s="1" t="s">
        <v>108</v>
      </c>
      <c r="B120" s="1">
        <v>1001</v>
      </c>
      <c r="C120" s="1" t="s">
        <v>78</v>
      </c>
      <c r="D120" s="8">
        <v>-115.5333</v>
      </c>
      <c r="E120" s="8">
        <v>-51.0623</v>
      </c>
      <c r="F120" s="8">
        <v>-283.10570000000001</v>
      </c>
      <c r="G120" t="s">
        <v>60</v>
      </c>
      <c r="H120">
        <v>51003</v>
      </c>
      <c r="I120" t="s">
        <v>21</v>
      </c>
      <c r="J120" s="11">
        <v>-115.5531542992735</v>
      </c>
      <c r="K120" s="11">
        <v>-51.075117614971788</v>
      </c>
      <c r="L120" s="11">
        <v>-283.10250185298742</v>
      </c>
      <c r="M120" s="13">
        <f t="shared" si="9"/>
        <v>1.9854299273504239E-2</v>
      </c>
      <c r="N120" s="13">
        <f t="shared" si="10"/>
        <v>1.281761497178735E-2</v>
      </c>
      <c r="O120" s="13">
        <f t="shared" si="11"/>
        <v>-3.1981470125970191E-3</v>
      </c>
      <c r="P120" s="13">
        <f t="shared" si="12"/>
        <v>2.3847695853500005E-2</v>
      </c>
      <c r="Q120">
        <v>6</v>
      </c>
      <c r="R120" t="s">
        <v>17</v>
      </c>
      <c r="S120" t="s">
        <v>18</v>
      </c>
      <c r="T120" t="s">
        <v>60</v>
      </c>
      <c r="U120">
        <v>1001</v>
      </c>
      <c r="V120" s="6" t="s">
        <v>45</v>
      </c>
      <c r="W120" s="11">
        <v>-115.5333</v>
      </c>
      <c r="X120" s="11">
        <v>-51.0623</v>
      </c>
      <c r="Y120" s="11">
        <v>-283.10570000000001</v>
      </c>
      <c r="Z120" s="13"/>
      <c r="AA120" s="13"/>
      <c r="AB120" s="13"/>
      <c r="AC120" s="13"/>
      <c r="AD120">
        <v>6</v>
      </c>
      <c r="AE120" t="s">
        <v>17</v>
      </c>
    </row>
    <row r="121" spans="1:32" x14ac:dyDescent="0.3">
      <c r="A121" s="1" t="s">
        <v>108</v>
      </c>
      <c r="B121" s="1">
        <v>501</v>
      </c>
      <c r="C121" s="1" t="s">
        <v>94</v>
      </c>
      <c r="D121" s="8">
        <v>-2.0799999999999999E-2</v>
      </c>
      <c r="E121" s="8">
        <v>0.3785</v>
      </c>
      <c r="F121" s="8">
        <v>-0.1804</v>
      </c>
      <c r="G121" t="s">
        <v>60</v>
      </c>
      <c r="H121">
        <v>501</v>
      </c>
      <c r="I121" s="5" t="s">
        <v>10</v>
      </c>
      <c r="J121" s="11">
        <v>-2.0799999999999999E-2</v>
      </c>
      <c r="K121" s="11">
        <v>0.3785</v>
      </c>
      <c r="L121" s="11">
        <v>-0.1804</v>
      </c>
      <c r="M121" s="13"/>
      <c r="N121" s="13"/>
      <c r="O121" s="13"/>
      <c r="P121" s="13"/>
      <c r="Q121">
        <v>6</v>
      </c>
      <c r="R121" t="s">
        <v>11</v>
      </c>
      <c r="T121" t="s">
        <v>60</v>
      </c>
      <c r="U121">
        <v>50501</v>
      </c>
      <c r="V121" t="s">
        <v>67</v>
      </c>
      <c r="W121" s="11">
        <v>1.1344841373142141E-3</v>
      </c>
      <c r="X121" s="11">
        <v>0.34321729425890207</v>
      </c>
      <c r="Y121" s="11">
        <v>-0.19043465326134901</v>
      </c>
      <c r="Z121" s="13">
        <f t="shared" si="13"/>
        <v>-2.1934484137314213E-2</v>
      </c>
      <c r="AA121" s="13">
        <f t="shared" si="14"/>
        <v>3.5282705741097931E-2</v>
      </c>
      <c r="AB121" s="13">
        <f t="shared" si="15"/>
        <v>1.0034653261349002E-2</v>
      </c>
      <c r="AC121" s="13">
        <f t="shared" si="16"/>
        <v>4.2739737772458271E-2</v>
      </c>
      <c r="AD121">
        <v>6</v>
      </c>
      <c r="AE121" t="s">
        <v>11</v>
      </c>
      <c r="AF121" t="s">
        <v>68</v>
      </c>
    </row>
    <row r="122" spans="1:32" x14ac:dyDescent="0.3">
      <c r="A122" s="1" t="s">
        <v>108</v>
      </c>
      <c r="B122" s="1">
        <v>502</v>
      </c>
      <c r="C122" s="1" t="s">
        <v>85</v>
      </c>
      <c r="D122" s="8">
        <v>172.17429999999999</v>
      </c>
      <c r="E122" s="8">
        <v>0.50949999999999995</v>
      </c>
      <c r="F122" s="8">
        <v>-175.41800000000001</v>
      </c>
      <c r="G122" t="s">
        <v>60</v>
      </c>
      <c r="H122">
        <v>502</v>
      </c>
      <c r="I122" s="5" t="s">
        <v>12</v>
      </c>
      <c r="J122" s="11">
        <v>172.17429999999999</v>
      </c>
      <c r="K122" s="11">
        <v>0.50949999999999995</v>
      </c>
      <c r="L122" s="11">
        <v>-175.41800000000001</v>
      </c>
      <c r="M122" s="13"/>
      <c r="N122" s="13"/>
      <c r="O122" s="13"/>
      <c r="P122" s="13"/>
      <c r="Q122">
        <v>6</v>
      </c>
      <c r="R122" t="s">
        <v>11</v>
      </c>
      <c r="T122" t="s">
        <v>60</v>
      </c>
      <c r="U122">
        <v>50502</v>
      </c>
      <c r="V122" t="s">
        <v>69</v>
      </c>
      <c r="W122" s="11">
        <v>172.18330931246251</v>
      </c>
      <c r="X122" s="11">
        <v>0.56481665218254451</v>
      </c>
      <c r="Y122" s="11">
        <v>-175.42113647555229</v>
      </c>
      <c r="Z122" s="13">
        <f t="shared" si="13"/>
        <v>-9.0093124625241217E-3</v>
      </c>
      <c r="AA122" s="13">
        <f t="shared" si="14"/>
        <v>-5.5316652182544557E-2</v>
      </c>
      <c r="AB122" s="13">
        <f t="shared" si="15"/>
        <v>3.1364755522815813E-3</v>
      </c>
      <c r="AC122" s="13">
        <f t="shared" si="16"/>
        <v>5.6133209409600517E-2</v>
      </c>
      <c r="AD122">
        <v>6</v>
      </c>
      <c r="AE122" t="s">
        <v>11</v>
      </c>
      <c r="AF122" t="s">
        <v>68</v>
      </c>
    </row>
    <row r="123" spans="1:32" x14ac:dyDescent="0.3">
      <c r="A123" s="1" t="s">
        <v>108</v>
      </c>
      <c r="B123" s="1">
        <v>503</v>
      </c>
      <c r="C123" s="1" t="s">
        <v>95</v>
      </c>
      <c r="D123" s="8">
        <v>170.68860000000001</v>
      </c>
      <c r="E123" s="8">
        <v>-0.1678</v>
      </c>
      <c r="F123" s="8">
        <v>-1.1132</v>
      </c>
      <c r="G123" t="s">
        <v>60</v>
      </c>
      <c r="H123">
        <v>503</v>
      </c>
      <c r="I123" s="5" t="s">
        <v>13</v>
      </c>
      <c r="J123" s="11">
        <v>170.68860000000001</v>
      </c>
      <c r="K123" s="11">
        <v>-0.1678</v>
      </c>
      <c r="L123" s="11">
        <v>-1.1132</v>
      </c>
      <c r="M123" s="13"/>
      <c r="N123" s="13"/>
      <c r="O123" s="13"/>
      <c r="P123" s="13"/>
      <c r="Q123">
        <v>6</v>
      </c>
      <c r="R123" t="s">
        <v>11</v>
      </c>
      <c r="T123" t="s">
        <v>60</v>
      </c>
      <c r="U123">
        <v>50503</v>
      </c>
      <c r="V123" t="s">
        <v>70</v>
      </c>
      <c r="W123" s="11">
        <v>170.70955632220381</v>
      </c>
      <c r="X123" s="11">
        <v>-0.15726459672428481</v>
      </c>
      <c r="Y123" s="11">
        <v>-1.11937820027355</v>
      </c>
      <c r="Z123" s="13">
        <f t="shared" si="13"/>
        <v>-2.0956322203801392E-2</v>
      </c>
      <c r="AA123" s="13">
        <f t="shared" si="14"/>
        <v>-1.0535403275715199E-2</v>
      </c>
      <c r="AB123" s="13">
        <f t="shared" si="15"/>
        <v>6.178200273549983E-3</v>
      </c>
      <c r="AC123" s="13">
        <f t="shared" si="16"/>
        <v>2.425556268387899E-2</v>
      </c>
      <c r="AD123">
        <v>6</v>
      </c>
      <c r="AE123" t="s">
        <v>11</v>
      </c>
      <c r="AF123" t="s">
        <v>68</v>
      </c>
    </row>
    <row r="124" spans="1:32" x14ac:dyDescent="0.3">
      <c r="A124" s="1" t="s">
        <v>108</v>
      </c>
      <c r="B124" s="1">
        <v>504</v>
      </c>
      <c r="C124" s="1" t="s">
        <v>87</v>
      </c>
      <c r="D124" s="8">
        <v>346.45060000000001</v>
      </c>
      <c r="E124" s="8">
        <v>0.45910000000000001</v>
      </c>
      <c r="F124" s="8">
        <v>-7.17E-2</v>
      </c>
      <c r="G124" t="s">
        <v>60</v>
      </c>
      <c r="H124">
        <v>504</v>
      </c>
      <c r="I124" s="5" t="s">
        <v>14</v>
      </c>
      <c r="J124" s="11">
        <v>346.45060000000001</v>
      </c>
      <c r="K124" s="11">
        <v>0.45910000000000001</v>
      </c>
      <c r="L124" s="11">
        <v>-7.17E-2</v>
      </c>
      <c r="M124" s="13"/>
      <c r="N124" s="13"/>
      <c r="O124" s="13"/>
      <c r="P124" s="13"/>
      <c r="Q124">
        <v>6</v>
      </c>
      <c r="R124" t="s">
        <v>11</v>
      </c>
      <c r="T124" t="s">
        <v>60</v>
      </c>
      <c r="U124">
        <v>50504</v>
      </c>
      <c r="V124" t="s">
        <v>71</v>
      </c>
      <c r="W124" s="11">
        <v>346.46366268926062</v>
      </c>
      <c r="X124" s="11">
        <v>0.42439384293642068</v>
      </c>
      <c r="Y124" s="11">
        <v>-7.8227112832207069E-2</v>
      </c>
      <c r="Z124" s="13">
        <f t="shared" si="13"/>
        <v>-1.3062689260607385E-2</v>
      </c>
      <c r="AA124" s="13">
        <f t="shared" si="14"/>
        <v>3.4706157063579324E-2</v>
      </c>
      <c r="AB124" s="13">
        <f t="shared" si="15"/>
        <v>6.5271128322070687E-3</v>
      </c>
      <c r="AC124" s="13">
        <f t="shared" si="16"/>
        <v>3.7653079432702269E-2</v>
      </c>
      <c r="AD124">
        <v>6</v>
      </c>
      <c r="AE124" t="s">
        <v>11</v>
      </c>
      <c r="AF124" t="s">
        <v>68</v>
      </c>
    </row>
    <row r="125" spans="1:32" x14ac:dyDescent="0.3">
      <c r="A125" s="1" t="s">
        <v>108</v>
      </c>
      <c r="B125" s="1">
        <v>505</v>
      </c>
      <c r="C125" s="1" t="s">
        <v>96</v>
      </c>
      <c r="D125" s="8">
        <v>169.81379999999999</v>
      </c>
      <c r="E125" s="8">
        <v>0.33410000000000001</v>
      </c>
      <c r="F125" s="8">
        <v>175.0076</v>
      </c>
      <c r="G125" t="s">
        <v>60</v>
      </c>
      <c r="H125">
        <v>505</v>
      </c>
      <c r="I125" s="5" t="s">
        <v>15</v>
      </c>
      <c r="J125" s="11">
        <v>169.81379999999999</v>
      </c>
      <c r="K125" s="11">
        <v>0.33410000000000001</v>
      </c>
      <c r="L125" s="11">
        <v>175.0076</v>
      </c>
      <c r="M125" s="13"/>
      <c r="N125" s="13"/>
      <c r="O125" s="13"/>
      <c r="P125" s="13"/>
      <c r="Q125">
        <v>6</v>
      </c>
      <c r="R125" t="s">
        <v>11</v>
      </c>
      <c r="T125" t="s">
        <v>60</v>
      </c>
      <c r="U125">
        <v>50505</v>
      </c>
      <c r="V125" t="s">
        <v>72</v>
      </c>
      <c r="W125" s="11">
        <v>169.83546811206219</v>
      </c>
      <c r="X125" s="11">
        <v>0.30706996658888219</v>
      </c>
      <c r="Y125" s="11">
        <v>174.99882853615171</v>
      </c>
      <c r="Z125" s="13">
        <f t="shared" si="13"/>
        <v>-2.1668112062201317E-2</v>
      </c>
      <c r="AA125" s="13">
        <f t="shared" si="14"/>
        <v>2.7030033411117815E-2</v>
      </c>
      <c r="AB125" s="13">
        <f t="shared" si="15"/>
        <v>8.7714638482907503E-3</v>
      </c>
      <c r="AC125" s="13">
        <f t="shared" si="16"/>
        <v>3.5736093303383502E-2</v>
      </c>
      <c r="AD125">
        <v>6</v>
      </c>
      <c r="AE125" t="s">
        <v>11</v>
      </c>
      <c r="AF125" t="s">
        <v>68</v>
      </c>
    </row>
    <row r="126" spans="1:32" x14ac:dyDescent="0.3">
      <c r="A126" s="1" t="s">
        <v>108</v>
      </c>
      <c r="B126" s="1">
        <v>116</v>
      </c>
      <c r="C126" s="1" t="s">
        <v>81</v>
      </c>
      <c r="D126" s="8">
        <v>1012.1268</v>
      </c>
      <c r="E126" s="8">
        <v>-625.18679999999995</v>
      </c>
      <c r="F126" s="8">
        <v>-1135.3496</v>
      </c>
      <c r="G126" t="s">
        <v>60</v>
      </c>
      <c r="H126">
        <v>50116</v>
      </c>
      <c r="I126" t="s">
        <v>22</v>
      </c>
      <c r="J126" s="11">
        <v>1012.140208424094</v>
      </c>
      <c r="K126" s="11">
        <v>-625.39571372735975</v>
      </c>
      <c r="L126" s="11">
        <v>-1135.1420297301131</v>
      </c>
      <c r="M126" s="13">
        <f t="shared" si="9"/>
        <v>-1.3408424093995563E-2</v>
      </c>
      <c r="N126" s="13">
        <f t="shared" si="10"/>
        <v>0.20891372735979985</v>
      </c>
      <c r="O126" s="13">
        <f t="shared" si="11"/>
        <v>-0.20757026988690086</v>
      </c>
      <c r="P126" s="13">
        <f t="shared" si="12"/>
        <v>0.29480527175912252</v>
      </c>
      <c r="Q126">
        <v>6</v>
      </c>
      <c r="R126" t="s">
        <v>23</v>
      </c>
      <c r="S126" t="s">
        <v>18</v>
      </c>
      <c r="T126" t="s">
        <v>60</v>
      </c>
      <c r="U126">
        <v>50116</v>
      </c>
      <c r="V126" t="s">
        <v>22</v>
      </c>
      <c r="W126" s="11">
        <v>1012.142230278632</v>
      </c>
      <c r="X126" s="11">
        <v>-625.13523852972583</v>
      </c>
      <c r="Y126" s="11">
        <v>-1135.307307472819</v>
      </c>
      <c r="Z126" s="13">
        <f t="shared" si="13"/>
        <v>-1.5430278632038608E-2</v>
      </c>
      <c r="AA126" s="13">
        <f t="shared" si="14"/>
        <v>-5.1561470274123167E-2</v>
      </c>
      <c r="AB126" s="13">
        <f t="shared" si="15"/>
        <v>-4.229252718096177E-2</v>
      </c>
      <c r="AC126" s="13">
        <f t="shared" si="16"/>
        <v>6.8449518412067908E-2</v>
      </c>
      <c r="AD126">
        <v>6</v>
      </c>
      <c r="AE126" t="s">
        <v>23</v>
      </c>
      <c r="AF126" t="s">
        <v>68</v>
      </c>
    </row>
    <row r="127" spans="1:32" x14ac:dyDescent="0.3">
      <c r="A127" s="1" t="s">
        <v>108</v>
      </c>
      <c r="B127" s="1">
        <v>121</v>
      </c>
      <c r="C127" s="1" t="s">
        <v>93</v>
      </c>
      <c r="D127" s="8">
        <v>635.33429999999998</v>
      </c>
      <c r="E127" s="8">
        <v>-99.388999999999996</v>
      </c>
      <c r="F127" s="8">
        <v>96.226399999999998</v>
      </c>
      <c r="G127" t="s">
        <v>60</v>
      </c>
      <c r="H127">
        <v>50121</v>
      </c>
      <c r="I127" t="s">
        <v>24</v>
      </c>
      <c r="J127" s="11">
        <v>635.30955340659159</v>
      </c>
      <c r="K127" s="11">
        <v>-99.367398934581985</v>
      </c>
      <c r="L127" s="11">
        <v>96.243132655259643</v>
      </c>
      <c r="M127" s="13">
        <f t="shared" si="9"/>
        <v>2.4746593408394801E-2</v>
      </c>
      <c r="N127" s="13">
        <f t="shared" si="10"/>
        <v>-2.160106541801099E-2</v>
      </c>
      <c r="O127" s="13">
        <f t="shared" si="11"/>
        <v>-1.6732655259644957E-2</v>
      </c>
      <c r="P127" s="13">
        <f t="shared" si="12"/>
        <v>3.6864368495224807E-2</v>
      </c>
      <c r="Q127">
        <v>6</v>
      </c>
      <c r="R127" t="s">
        <v>23</v>
      </c>
      <c r="S127" t="s">
        <v>18</v>
      </c>
      <c r="T127" t="s">
        <v>60</v>
      </c>
      <c r="U127">
        <v>50121</v>
      </c>
      <c r="V127" t="s">
        <v>24</v>
      </c>
      <c r="W127" s="11">
        <v>635.32811849403413</v>
      </c>
      <c r="X127" s="11">
        <v>-99.396553141237803</v>
      </c>
      <c r="Y127" s="11">
        <v>96.20660171110427</v>
      </c>
      <c r="Z127" s="13">
        <f t="shared" si="13"/>
        <v>6.1815059658556493E-3</v>
      </c>
      <c r="AA127" s="13">
        <f t="shared" si="14"/>
        <v>7.5531412378069263E-3</v>
      </c>
      <c r="AB127" s="13">
        <f t="shared" si="15"/>
        <v>1.9798288895728433E-2</v>
      </c>
      <c r="AC127" s="13">
        <f t="shared" si="16"/>
        <v>2.2073359548625403E-2</v>
      </c>
      <c r="AD127">
        <v>6</v>
      </c>
      <c r="AE127" t="s">
        <v>23</v>
      </c>
      <c r="AF127" t="s">
        <v>68</v>
      </c>
    </row>
    <row r="128" spans="1:32" x14ac:dyDescent="0.3">
      <c r="A128" s="1" t="s">
        <v>108</v>
      </c>
      <c r="B128" s="1">
        <v>13</v>
      </c>
      <c r="C128" s="1" t="s">
        <v>80</v>
      </c>
      <c r="D128" s="8">
        <v>279.75959999999998</v>
      </c>
      <c r="E128" s="8">
        <v>3.6110000000000002</v>
      </c>
      <c r="F128" s="8">
        <v>200.74639999999999</v>
      </c>
      <c r="G128" t="s">
        <v>60</v>
      </c>
      <c r="H128">
        <v>50013</v>
      </c>
      <c r="I128" t="s">
        <v>25</v>
      </c>
      <c r="J128" s="11">
        <v>279.75660522087861</v>
      </c>
      <c r="K128" s="11">
        <v>3.6075011667548482</v>
      </c>
      <c r="L128" s="11">
        <v>200.75006395183689</v>
      </c>
      <c r="M128" s="13">
        <f t="shared" si="9"/>
        <v>2.9947791213658093E-3</v>
      </c>
      <c r="N128" s="13">
        <f t="shared" si="10"/>
        <v>3.4988332451519888E-3</v>
      </c>
      <c r="O128" s="13">
        <f t="shared" si="11"/>
        <v>-3.6639518368986046E-3</v>
      </c>
      <c r="P128" s="13">
        <f t="shared" si="12"/>
        <v>5.885157527735517E-3</v>
      </c>
      <c r="Q128">
        <v>6</v>
      </c>
      <c r="R128" t="s">
        <v>23</v>
      </c>
      <c r="S128" t="s">
        <v>18</v>
      </c>
      <c r="T128" t="s">
        <v>60</v>
      </c>
      <c r="U128">
        <v>50013</v>
      </c>
      <c r="V128" t="s">
        <v>25</v>
      </c>
      <c r="W128" s="11">
        <v>279.77659869494789</v>
      </c>
      <c r="X128" s="11">
        <v>3.553898697577313</v>
      </c>
      <c r="Y128" s="11">
        <v>200.74247564060221</v>
      </c>
      <c r="Z128" s="13">
        <f t="shared" si="13"/>
        <v>-1.6998694947915283E-2</v>
      </c>
      <c r="AA128" s="13">
        <f t="shared" si="14"/>
        <v>5.7101302422687183E-2</v>
      </c>
      <c r="AB128" s="13">
        <f t="shared" si="15"/>
        <v>3.9243593977857927E-3</v>
      </c>
      <c r="AC128" s="13">
        <f t="shared" si="16"/>
        <v>5.9706908854691612E-2</v>
      </c>
      <c r="AD128">
        <v>6</v>
      </c>
      <c r="AE128" t="s">
        <v>23</v>
      </c>
      <c r="AF128" t="s">
        <v>68</v>
      </c>
    </row>
    <row r="129" spans="1:32" x14ac:dyDescent="0.3">
      <c r="A129" s="1" t="s">
        <v>108</v>
      </c>
      <c r="B129" s="1">
        <v>34</v>
      </c>
      <c r="C129" s="1" t="s">
        <v>74</v>
      </c>
      <c r="D129" s="8">
        <v>757.88329999999996</v>
      </c>
      <c r="E129" s="8">
        <v>-94.786900000000003</v>
      </c>
      <c r="F129" s="8">
        <v>-665.65039999999999</v>
      </c>
      <c r="G129" t="s">
        <v>60</v>
      </c>
      <c r="H129">
        <v>50034</v>
      </c>
      <c r="I129" t="s">
        <v>26</v>
      </c>
      <c r="J129" s="11">
        <v>757.85908379876241</v>
      </c>
      <c r="K129" s="11">
        <v>-94.920311723186217</v>
      </c>
      <c r="L129" s="11">
        <v>-665.60462725185766</v>
      </c>
      <c r="M129" s="13">
        <f t="shared" si="9"/>
        <v>2.4216201237550194E-2</v>
      </c>
      <c r="N129" s="13">
        <f t="shared" si="10"/>
        <v>0.13341172318621375</v>
      </c>
      <c r="O129" s="13">
        <f t="shared" si="11"/>
        <v>-4.5772748142326236E-2</v>
      </c>
      <c r="P129" s="13">
        <f t="shared" si="12"/>
        <v>0.14310924763408298</v>
      </c>
      <c r="Q129">
        <v>6</v>
      </c>
      <c r="R129" t="s">
        <v>23</v>
      </c>
      <c r="S129" t="s">
        <v>18</v>
      </c>
      <c r="T129" t="s">
        <v>60</v>
      </c>
      <c r="U129">
        <v>50034</v>
      </c>
      <c r="V129" t="s">
        <v>26</v>
      </c>
      <c r="W129" s="11">
        <v>757.86755141329888</v>
      </c>
      <c r="X129" s="11">
        <v>-94.770237950804528</v>
      </c>
      <c r="Y129" s="11">
        <v>-665.64171511258201</v>
      </c>
      <c r="Z129" s="13">
        <f t="shared" si="13"/>
        <v>1.5748586701079148E-2</v>
      </c>
      <c r="AA129" s="13">
        <f t="shared" si="14"/>
        <v>-1.6662049195474538E-2</v>
      </c>
      <c r="AB129" s="13">
        <f t="shared" si="15"/>
        <v>-8.68488741798501E-3</v>
      </c>
      <c r="AC129" s="13">
        <f t="shared" si="16"/>
        <v>2.4516711360557619E-2</v>
      </c>
      <c r="AD129">
        <v>6</v>
      </c>
      <c r="AE129" t="s">
        <v>23</v>
      </c>
      <c r="AF129" t="s">
        <v>68</v>
      </c>
    </row>
    <row r="130" spans="1:32" x14ac:dyDescent="0.3">
      <c r="A130" s="1" t="s">
        <v>108</v>
      </c>
      <c r="B130" s="1">
        <v>37</v>
      </c>
      <c r="C130" s="1" t="s">
        <v>79</v>
      </c>
      <c r="D130" s="8">
        <v>33.385399999999997</v>
      </c>
      <c r="E130" s="8">
        <v>-98.605900000000005</v>
      </c>
      <c r="F130" s="8">
        <v>-390.84519999999998</v>
      </c>
      <c r="G130" t="s">
        <v>60</v>
      </c>
      <c r="H130">
        <v>50037</v>
      </c>
      <c r="I130" t="s">
        <v>27</v>
      </c>
      <c r="J130" s="11">
        <v>33.372203197270728</v>
      </c>
      <c r="K130" s="11">
        <v>-98.726187570904628</v>
      </c>
      <c r="L130" s="11">
        <v>-390.82098885698917</v>
      </c>
      <c r="M130" s="13">
        <f t="shared" si="9"/>
        <v>1.3196802729268597E-2</v>
      </c>
      <c r="N130" s="13">
        <f t="shared" si="10"/>
        <v>0.1202875709046225</v>
      </c>
      <c r="O130" s="13">
        <f t="shared" si="11"/>
        <v>-2.4211143010802516E-2</v>
      </c>
      <c r="P130" s="13">
        <f t="shared" si="12"/>
        <v>0.12340759604780958</v>
      </c>
      <c r="Q130">
        <v>6</v>
      </c>
      <c r="R130" t="s">
        <v>23</v>
      </c>
      <c r="S130" t="s">
        <v>18</v>
      </c>
      <c r="T130" t="s">
        <v>60</v>
      </c>
      <c r="U130">
        <v>50037</v>
      </c>
      <c r="V130" t="s">
        <v>27</v>
      </c>
      <c r="W130" s="11">
        <v>33.384311914381463</v>
      </c>
      <c r="X130" s="11">
        <v>-98.640475990168113</v>
      </c>
      <c r="Y130" s="11">
        <v>-390.84937583282192</v>
      </c>
      <c r="Z130" s="13">
        <f t="shared" si="13"/>
        <v>1.0880856185337962E-3</v>
      </c>
      <c r="AA130" s="13">
        <f t="shared" si="14"/>
        <v>3.4575990168107751E-2</v>
      </c>
      <c r="AB130" s="13">
        <f t="shared" si="15"/>
        <v>4.1758328219430041E-3</v>
      </c>
      <c r="AC130" s="13">
        <f t="shared" si="16"/>
        <v>3.4844233470908217E-2</v>
      </c>
      <c r="AD130">
        <v>6</v>
      </c>
      <c r="AE130" t="s">
        <v>23</v>
      </c>
      <c r="AF130" t="s">
        <v>68</v>
      </c>
    </row>
    <row r="131" spans="1:32" x14ac:dyDescent="0.3">
      <c r="A131" s="1" t="s">
        <v>108</v>
      </c>
      <c r="B131" s="1">
        <v>4</v>
      </c>
      <c r="C131" s="1" t="s">
        <v>88</v>
      </c>
      <c r="D131" s="8">
        <v>1045.8612000000001</v>
      </c>
      <c r="E131" s="8">
        <v>-512.92250000000001</v>
      </c>
      <c r="F131" s="8">
        <v>-1105.1656</v>
      </c>
      <c r="G131" t="s">
        <v>60</v>
      </c>
      <c r="H131">
        <v>50004</v>
      </c>
      <c r="I131" t="s">
        <v>29</v>
      </c>
      <c r="J131" s="11">
        <v>1045.8734751678189</v>
      </c>
      <c r="K131" s="11">
        <v>-513.14108802565534</v>
      </c>
      <c r="L131" s="11">
        <v>-1104.989969639018</v>
      </c>
      <c r="M131" s="13">
        <f t="shared" ref="M131:M189" si="17">D131-J131</f>
        <v>-1.2275167818870614E-2</v>
      </c>
      <c r="N131" s="13">
        <f t="shared" ref="N131:N189" si="18">E131-K131</f>
        <v>0.21858802565532187</v>
      </c>
      <c r="O131" s="13">
        <f t="shared" ref="O131:O189" si="19">F131-L131</f>
        <v>-0.17563036098204066</v>
      </c>
      <c r="P131" s="13">
        <f t="shared" ref="P131:P189" si="20">SQRT(M131*M131+N131*N131+O131*O131)</f>
        <v>0.28067317008142229</v>
      </c>
      <c r="Q131">
        <v>6</v>
      </c>
      <c r="R131" t="s">
        <v>23</v>
      </c>
      <c r="S131" t="s">
        <v>18</v>
      </c>
      <c r="T131" t="s">
        <v>60</v>
      </c>
      <c r="U131">
        <v>50004</v>
      </c>
      <c r="V131" t="s">
        <v>29</v>
      </c>
      <c r="W131" s="11">
        <v>1045.875943573564</v>
      </c>
      <c r="X131" s="11">
        <v>-512.88772532544897</v>
      </c>
      <c r="Y131" s="11">
        <v>-1105.129279519339</v>
      </c>
      <c r="Z131" s="13">
        <f t="shared" ref="Z131:Z194" si="21">D131-W131</f>
        <v>-1.4743573563919199E-2</v>
      </c>
      <c r="AA131" s="13">
        <f t="shared" ref="AA131:AA194" si="22">E131-X131</f>
        <v>-3.4774674551044882E-2</v>
      </c>
      <c r="AB131" s="13">
        <f t="shared" ref="AB131:AB194" si="23">F131-Y131</f>
        <v>-3.6320480661061083E-2</v>
      </c>
      <c r="AC131" s="13">
        <f t="shared" ref="AC131:AC194" si="24">SQRT(Z131*Z131+AA131*AA131+AB131*AB131)</f>
        <v>5.2400651398778406E-2</v>
      </c>
      <c r="AD131">
        <v>6</v>
      </c>
      <c r="AE131" t="s">
        <v>23</v>
      </c>
      <c r="AF131" t="s">
        <v>68</v>
      </c>
    </row>
    <row r="132" spans="1:32" x14ac:dyDescent="0.3">
      <c r="A132" s="1" t="s">
        <v>108</v>
      </c>
      <c r="B132" s="1">
        <v>42</v>
      </c>
      <c r="C132" s="1" t="s">
        <v>90</v>
      </c>
      <c r="D132" s="8">
        <v>1083.2563</v>
      </c>
      <c r="E132" s="8">
        <v>-96.730400000000003</v>
      </c>
      <c r="F132" s="8">
        <v>-356.34370000000001</v>
      </c>
      <c r="G132" t="s">
        <v>60</v>
      </c>
      <c r="H132">
        <v>50042</v>
      </c>
      <c r="I132" t="s">
        <v>28</v>
      </c>
      <c r="J132" s="11">
        <v>1083.242064647915</v>
      </c>
      <c r="K132" s="11">
        <v>-96.771990027752707</v>
      </c>
      <c r="L132" s="11">
        <v>-356.30883664248603</v>
      </c>
      <c r="M132" s="13">
        <f t="shared" si="17"/>
        <v>1.4235352085052E-2</v>
      </c>
      <c r="N132" s="13">
        <f t="shared" si="18"/>
        <v>4.1590027752704373E-2</v>
      </c>
      <c r="O132" s="13">
        <f t="shared" si="19"/>
        <v>-3.4863357513984283E-2</v>
      </c>
      <c r="P132" s="13">
        <f t="shared" si="20"/>
        <v>5.6105519822955016E-2</v>
      </c>
      <c r="Q132">
        <v>6</v>
      </c>
      <c r="R132" t="s">
        <v>23</v>
      </c>
      <c r="S132" t="s">
        <v>18</v>
      </c>
      <c r="T132" t="s">
        <v>60</v>
      </c>
      <c r="U132">
        <v>50042</v>
      </c>
      <c r="V132" t="s">
        <v>28</v>
      </c>
      <c r="W132" s="11">
        <v>1083.2546315933021</v>
      </c>
      <c r="X132" s="11">
        <v>-96.694834813743995</v>
      </c>
      <c r="Y132" s="11">
        <v>-356.3506822546164</v>
      </c>
      <c r="Z132" s="13">
        <f t="shared" si="21"/>
        <v>1.6684066979451018E-3</v>
      </c>
      <c r="AA132" s="13">
        <f t="shared" si="22"/>
        <v>-3.5565186256008019E-2</v>
      </c>
      <c r="AB132" s="13">
        <f t="shared" si="23"/>
        <v>6.9822546163891275E-3</v>
      </c>
      <c r="AC132" s="13">
        <f t="shared" si="24"/>
        <v>3.6282474197088285E-2</v>
      </c>
      <c r="AD132">
        <v>6</v>
      </c>
      <c r="AE132" t="s">
        <v>23</v>
      </c>
      <c r="AF132" t="s">
        <v>68</v>
      </c>
    </row>
    <row r="133" spans="1:32" x14ac:dyDescent="0.3">
      <c r="A133" s="1" t="s">
        <v>108</v>
      </c>
      <c r="B133" s="1">
        <v>506</v>
      </c>
      <c r="C133" s="1" t="s">
        <v>82</v>
      </c>
      <c r="D133" s="8">
        <v>1148.5534</v>
      </c>
      <c r="E133" s="8">
        <v>-23.448599999999999</v>
      </c>
      <c r="F133" s="8">
        <v>-460.4194</v>
      </c>
      <c r="G133" t="s">
        <v>60</v>
      </c>
      <c r="H133">
        <v>50506</v>
      </c>
      <c r="I133" t="s">
        <v>30</v>
      </c>
      <c r="J133" s="11">
        <v>1148.548232864284</v>
      </c>
      <c r="K133" s="11">
        <v>-23.47264487855767</v>
      </c>
      <c r="L133" s="11">
        <v>-460.3823885300074</v>
      </c>
      <c r="M133" s="13">
        <f t="shared" si="17"/>
        <v>5.1671357159648323E-3</v>
      </c>
      <c r="N133" s="13">
        <f t="shared" si="18"/>
        <v>2.4044878557671012E-2</v>
      </c>
      <c r="O133" s="13">
        <f t="shared" si="19"/>
        <v>-3.7011469992592083E-2</v>
      </c>
      <c r="P133" s="13">
        <f t="shared" si="20"/>
        <v>4.4437646060214428E-2</v>
      </c>
      <c r="Q133">
        <v>6</v>
      </c>
      <c r="R133" t="s">
        <v>23</v>
      </c>
      <c r="S133" t="s">
        <v>18</v>
      </c>
      <c r="T133" t="s">
        <v>60</v>
      </c>
      <c r="U133">
        <v>50506</v>
      </c>
      <c r="V133" t="s">
        <v>30</v>
      </c>
      <c r="W133" s="11">
        <v>1148.5594507593671</v>
      </c>
      <c r="X133" s="11">
        <v>-23.371028040753519</v>
      </c>
      <c r="Y133" s="11">
        <v>-460.4078480957765</v>
      </c>
      <c r="Z133" s="13">
        <f t="shared" si="21"/>
        <v>-6.05075936709909E-3</v>
      </c>
      <c r="AA133" s="13">
        <f t="shared" si="22"/>
        <v>-7.7571959246480304E-2</v>
      </c>
      <c r="AB133" s="13">
        <f t="shared" si="23"/>
        <v>-1.1551904223495058E-2</v>
      </c>
      <c r="AC133" s="13">
        <f t="shared" si="24"/>
        <v>7.8660454114154094E-2</v>
      </c>
      <c r="AD133">
        <v>6</v>
      </c>
      <c r="AE133" t="s">
        <v>23</v>
      </c>
      <c r="AF133" t="s">
        <v>68</v>
      </c>
    </row>
    <row r="134" spans="1:32" x14ac:dyDescent="0.3">
      <c r="A134" s="1" t="s">
        <v>108</v>
      </c>
      <c r="B134" s="1">
        <v>507</v>
      </c>
      <c r="C134" s="1" t="s">
        <v>83</v>
      </c>
      <c r="D134" s="8">
        <v>676.69389999999999</v>
      </c>
      <c r="E134" s="8">
        <v>-27.811499999999999</v>
      </c>
      <c r="F134" s="8">
        <v>-1093.7248</v>
      </c>
      <c r="G134" t="s">
        <v>60</v>
      </c>
      <c r="H134">
        <v>50507</v>
      </c>
      <c r="I134" t="s">
        <v>31</v>
      </c>
      <c r="J134" s="11">
        <v>676.70159116858235</v>
      </c>
      <c r="K134" s="11">
        <v>-27.999419614772691</v>
      </c>
      <c r="L134" s="11">
        <v>-1093.6961988440301</v>
      </c>
      <c r="M134" s="13">
        <f t="shared" si="17"/>
        <v>-7.6911685823688458E-3</v>
      </c>
      <c r="N134" s="13">
        <f t="shared" si="18"/>
        <v>0.18791961477269226</v>
      </c>
      <c r="O134" s="13">
        <f t="shared" si="19"/>
        <v>-2.8601155969909087E-2</v>
      </c>
      <c r="P134" s="13">
        <f t="shared" si="20"/>
        <v>0.19023922259432868</v>
      </c>
      <c r="Q134">
        <v>6</v>
      </c>
      <c r="R134" t="s">
        <v>23</v>
      </c>
      <c r="S134" t="s">
        <v>18</v>
      </c>
      <c r="T134" t="s">
        <v>60</v>
      </c>
      <c r="U134">
        <v>50507</v>
      </c>
      <c r="V134" t="s">
        <v>31</v>
      </c>
      <c r="W134" s="11">
        <v>676.70441178851684</v>
      </c>
      <c r="X134" s="11">
        <v>-27.7485750924949</v>
      </c>
      <c r="Y134" s="11">
        <v>-1093.716451055752</v>
      </c>
      <c r="Z134" s="13">
        <f t="shared" si="21"/>
        <v>-1.0511788516851084E-2</v>
      </c>
      <c r="AA134" s="13">
        <f t="shared" si="22"/>
        <v>-6.292490750509927E-2</v>
      </c>
      <c r="AB134" s="13">
        <f t="shared" si="23"/>
        <v>-8.3489442479276477E-3</v>
      </c>
      <c r="AC134" s="13">
        <f t="shared" si="24"/>
        <v>6.4340862229249812E-2</v>
      </c>
      <c r="AD134">
        <v>6</v>
      </c>
      <c r="AE134" t="s">
        <v>23</v>
      </c>
      <c r="AF134" t="s">
        <v>68</v>
      </c>
    </row>
    <row r="135" spans="1:32" x14ac:dyDescent="0.3">
      <c r="A135" s="1" t="s">
        <v>108</v>
      </c>
      <c r="B135" s="1">
        <v>509</v>
      </c>
      <c r="C135" s="1" t="s">
        <v>97</v>
      </c>
      <c r="D135" s="8">
        <v>487.93700000000001</v>
      </c>
      <c r="E135" s="8">
        <v>-400.93599999999998</v>
      </c>
      <c r="F135" s="8">
        <v>439.72719999999998</v>
      </c>
      <c r="G135" t="s">
        <v>60</v>
      </c>
      <c r="H135">
        <v>50509</v>
      </c>
      <c r="I135" t="s">
        <v>32</v>
      </c>
      <c r="J135" s="11">
        <v>487.94457427097882</v>
      </c>
      <c r="K135" s="11">
        <v>-400.91325009441528</v>
      </c>
      <c r="L135" s="11">
        <v>439.75091931236318</v>
      </c>
      <c r="M135" s="13">
        <f t="shared" si="17"/>
        <v>-7.5742709788073626E-3</v>
      </c>
      <c r="N135" s="13">
        <f t="shared" si="18"/>
        <v>-2.2749905584703356E-2</v>
      </c>
      <c r="O135" s="13">
        <f t="shared" si="19"/>
        <v>-2.3719312363198242E-2</v>
      </c>
      <c r="P135" s="13">
        <f t="shared" si="20"/>
        <v>3.3727341489602901E-2</v>
      </c>
      <c r="Q135">
        <v>6</v>
      </c>
      <c r="R135" t="s">
        <v>23</v>
      </c>
      <c r="S135" t="s">
        <v>18</v>
      </c>
      <c r="T135" t="s">
        <v>60</v>
      </c>
      <c r="U135">
        <v>50509</v>
      </c>
      <c r="V135" t="s">
        <v>32</v>
      </c>
      <c r="W135" s="11">
        <v>487.96756718346052</v>
      </c>
      <c r="X135" s="11">
        <v>-401.02316954605612</v>
      </c>
      <c r="Y135" s="11">
        <v>439.64537225839513</v>
      </c>
      <c r="Z135" s="13">
        <f t="shared" si="21"/>
        <v>-3.0567183460505021E-2</v>
      </c>
      <c r="AA135" s="13">
        <f t="shared" si="22"/>
        <v>8.7169546056145464E-2</v>
      </c>
      <c r="AB135" s="13">
        <f t="shared" si="23"/>
        <v>8.1827741604854509E-2</v>
      </c>
      <c r="AC135" s="13">
        <f t="shared" si="24"/>
        <v>0.12340446410277658</v>
      </c>
      <c r="AD135">
        <v>6</v>
      </c>
      <c r="AE135" t="s">
        <v>23</v>
      </c>
      <c r="AF135" t="s">
        <v>68</v>
      </c>
    </row>
    <row r="136" spans="1:32" x14ac:dyDescent="0.3">
      <c r="A136" s="1" t="s">
        <v>108</v>
      </c>
      <c r="B136" s="1">
        <v>57</v>
      </c>
      <c r="C136" s="1" t="s">
        <v>91</v>
      </c>
      <c r="D136" s="8">
        <v>381.64510000000001</v>
      </c>
      <c r="E136" s="8">
        <v>-98.950199999999995</v>
      </c>
      <c r="F136" s="8">
        <v>-132.1026</v>
      </c>
      <c r="G136" t="s">
        <v>60</v>
      </c>
      <c r="H136">
        <v>50057</v>
      </c>
      <c r="I136" t="s">
        <v>33</v>
      </c>
      <c r="J136" s="11">
        <v>381.63138994962418</v>
      </c>
      <c r="K136" s="11">
        <v>-98.996789711929239</v>
      </c>
      <c r="L136" s="11">
        <v>-132.09098458709269</v>
      </c>
      <c r="M136" s="13">
        <f t="shared" si="17"/>
        <v>1.3710050375834726E-2</v>
      </c>
      <c r="N136" s="13">
        <f t="shared" si="18"/>
        <v>4.6589711929243549E-2</v>
      </c>
      <c r="O136" s="13">
        <f t="shared" si="19"/>
        <v>-1.1615412907303835E-2</v>
      </c>
      <c r="P136" s="13">
        <f t="shared" si="20"/>
        <v>4.9934803053231169E-2</v>
      </c>
      <c r="Q136">
        <v>6</v>
      </c>
      <c r="R136" t="s">
        <v>23</v>
      </c>
      <c r="S136" t="s">
        <v>18</v>
      </c>
      <c r="T136" t="s">
        <v>60</v>
      </c>
      <c r="U136">
        <v>50057</v>
      </c>
      <c r="V136" t="s">
        <v>33</v>
      </c>
      <c r="W136" s="11">
        <v>381.64692833781868</v>
      </c>
      <c r="X136" s="11">
        <v>-98.972107011844884</v>
      </c>
      <c r="Y136" s="11">
        <v>-132.12405910638071</v>
      </c>
      <c r="Z136" s="13">
        <f t="shared" si="21"/>
        <v>-1.8283378186652044E-3</v>
      </c>
      <c r="AA136" s="13">
        <f t="shared" si="22"/>
        <v>2.1907011844888302E-2</v>
      </c>
      <c r="AB136" s="13">
        <f t="shared" si="23"/>
        <v>2.1459106380717685E-2</v>
      </c>
      <c r="AC136" s="13">
        <f t="shared" si="24"/>
        <v>3.0720566951314494E-2</v>
      </c>
      <c r="AD136">
        <v>6</v>
      </c>
      <c r="AE136" t="s">
        <v>23</v>
      </c>
      <c r="AF136" t="s">
        <v>68</v>
      </c>
    </row>
    <row r="137" spans="1:32" x14ac:dyDescent="0.3">
      <c r="A137" s="1" t="s">
        <v>108</v>
      </c>
      <c r="B137" s="1">
        <v>87</v>
      </c>
      <c r="C137" s="1" t="s">
        <v>86</v>
      </c>
      <c r="D137" s="8">
        <v>1198.6596</v>
      </c>
      <c r="E137" s="8">
        <v>-631.47799999999995</v>
      </c>
      <c r="F137" s="8">
        <v>-975.20830000000001</v>
      </c>
      <c r="G137" t="s">
        <v>60</v>
      </c>
      <c r="H137">
        <v>50087</v>
      </c>
      <c r="I137" t="s">
        <v>34</v>
      </c>
      <c r="J137" s="11">
        <v>1198.6916908247281</v>
      </c>
      <c r="K137" s="11">
        <v>-631.6232585889245</v>
      </c>
      <c r="L137" s="11">
        <v>-975.03511867717521</v>
      </c>
      <c r="M137" s="13">
        <f t="shared" si="17"/>
        <v>-3.2090824728129519E-2</v>
      </c>
      <c r="N137" s="13">
        <f t="shared" si="18"/>
        <v>0.14525858892454835</v>
      </c>
      <c r="O137" s="13">
        <f t="shared" si="19"/>
        <v>-0.17318132282480292</v>
      </c>
      <c r="P137" s="13">
        <f t="shared" si="20"/>
        <v>0.2283016628573499</v>
      </c>
      <c r="Q137">
        <v>6</v>
      </c>
      <c r="R137" t="s">
        <v>23</v>
      </c>
      <c r="S137" t="s">
        <v>18</v>
      </c>
      <c r="T137" t="s">
        <v>60</v>
      </c>
      <c r="U137">
        <v>50087</v>
      </c>
      <c r="V137" t="s">
        <v>34</v>
      </c>
      <c r="W137" s="11">
        <v>1198.6958324965999</v>
      </c>
      <c r="X137" s="11">
        <v>-631.40053702858199</v>
      </c>
      <c r="Y137" s="11">
        <v>-975.20433934914399</v>
      </c>
      <c r="Z137" s="13">
        <f t="shared" si="21"/>
        <v>-3.6232496599950537E-2</v>
      </c>
      <c r="AA137" s="13">
        <f t="shared" si="22"/>
        <v>-7.7462971417958215E-2</v>
      </c>
      <c r="AB137" s="13">
        <f t="shared" si="23"/>
        <v>-3.9606508560154907E-3</v>
      </c>
      <c r="AC137" s="13">
        <f t="shared" si="24"/>
        <v>8.5609535134633777E-2</v>
      </c>
      <c r="AD137">
        <v>6</v>
      </c>
      <c r="AE137" t="s">
        <v>23</v>
      </c>
      <c r="AF137" t="s">
        <v>68</v>
      </c>
    </row>
    <row r="138" spans="1:32" x14ac:dyDescent="0.3">
      <c r="A138" s="1" t="s">
        <v>108</v>
      </c>
      <c r="B138" s="1">
        <v>92</v>
      </c>
      <c r="C138" s="1" t="s">
        <v>92</v>
      </c>
      <c r="D138" s="8">
        <v>532.70899999999995</v>
      </c>
      <c r="E138" s="8">
        <v>-94.665999999999997</v>
      </c>
      <c r="F138" s="8">
        <v>-862.22770000000003</v>
      </c>
      <c r="G138" t="s">
        <v>60</v>
      </c>
      <c r="H138">
        <v>50092</v>
      </c>
      <c r="I138" t="s">
        <v>35</v>
      </c>
      <c r="J138" s="11">
        <v>532.69302857275113</v>
      </c>
      <c r="K138" s="11">
        <v>-94.845648497765708</v>
      </c>
      <c r="L138" s="11">
        <v>-862.17823390742979</v>
      </c>
      <c r="M138" s="13">
        <f t="shared" si="17"/>
        <v>1.5971427248814507E-2</v>
      </c>
      <c r="N138" s="13">
        <f t="shared" si="18"/>
        <v>0.17964849776571157</v>
      </c>
      <c r="O138" s="13">
        <f t="shared" si="19"/>
        <v>-4.9466092570241926E-2</v>
      </c>
      <c r="P138" s="13">
        <f t="shared" si="20"/>
        <v>0.18701754878087989</v>
      </c>
      <c r="Q138">
        <v>6</v>
      </c>
      <c r="R138" t="s">
        <v>23</v>
      </c>
      <c r="S138" t="s">
        <v>18</v>
      </c>
      <c r="T138" t="s">
        <v>60</v>
      </c>
      <c r="U138">
        <v>50092</v>
      </c>
      <c r="V138" t="s">
        <v>35</v>
      </c>
      <c r="W138" s="11">
        <v>532.69889039036309</v>
      </c>
      <c r="X138" s="11">
        <v>-94.64922353942876</v>
      </c>
      <c r="Y138" s="11">
        <v>-862.21231383698569</v>
      </c>
      <c r="Z138" s="13">
        <f t="shared" si="21"/>
        <v>1.0109609636856476E-2</v>
      </c>
      <c r="AA138" s="13">
        <f t="shared" si="22"/>
        <v>-1.6776460571236385E-2</v>
      </c>
      <c r="AB138" s="13">
        <f t="shared" si="23"/>
        <v>-1.5386163014341037E-2</v>
      </c>
      <c r="AC138" s="13">
        <f t="shared" si="24"/>
        <v>2.4907586165900268E-2</v>
      </c>
      <c r="AD138">
        <v>6</v>
      </c>
      <c r="AE138" t="s">
        <v>23</v>
      </c>
      <c r="AF138" t="s">
        <v>68</v>
      </c>
    </row>
    <row r="139" spans="1:32" x14ac:dyDescent="0.3">
      <c r="A139" s="1" t="s">
        <v>108</v>
      </c>
      <c r="B139" s="1">
        <v>96</v>
      </c>
      <c r="C139" s="1" t="s">
        <v>84</v>
      </c>
      <c r="D139" s="8">
        <v>424.5917</v>
      </c>
      <c r="E139" s="8">
        <v>3.6099000000000001</v>
      </c>
      <c r="F139" s="8">
        <v>304.03410000000002</v>
      </c>
      <c r="G139" t="s">
        <v>60</v>
      </c>
      <c r="H139">
        <v>50096</v>
      </c>
      <c r="I139" t="s">
        <v>36</v>
      </c>
      <c r="J139" s="11">
        <v>424.58289687366403</v>
      </c>
      <c r="K139" s="11">
        <v>3.6479188672423661</v>
      </c>
      <c r="L139" s="11">
        <v>304.0367733767763</v>
      </c>
      <c r="M139" s="13">
        <f t="shared" si="17"/>
        <v>8.8031263359766854E-3</v>
      </c>
      <c r="N139" s="13">
        <f t="shared" si="18"/>
        <v>-3.8018867242366028E-2</v>
      </c>
      <c r="O139" s="13">
        <f t="shared" si="19"/>
        <v>-2.6733767762721072E-3</v>
      </c>
      <c r="P139" s="13">
        <f t="shared" si="20"/>
        <v>3.9116189015134514E-2</v>
      </c>
      <c r="Q139">
        <v>6</v>
      </c>
      <c r="R139" t="s">
        <v>23</v>
      </c>
      <c r="S139" t="s">
        <v>18</v>
      </c>
      <c r="T139" t="s">
        <v>60</v>
      </c>
      <c r="U139">
        <v>50096</v>
      </c>
      <c r="V139" t="s">
        <v>36</v>
      </c>
      <c r="W139" s="11">
        <v>424.60425955629609</v>
      </c>
      <c r="X139" s="11">
        <v>3.5699508637321959</v>
      </c>
      <c r="Y139" s="11">
        <v>304.02727182609249</v>
      </c>
      <c r="Z139" s="13">
        <f t="shared" si="21"/>
        <v>-1.2559556296082519E-2</v>
      </c>
      <c r="AA139" s="13">
        <f t="shared" si="22"/>
        <v>3.9949136267804164E-2</v>
      </c>
      <c r="AB139" s="13">
        <f t="shared" si="23"/>
        <v>6.8281739075359837E-3</v>
      </c>
      <c r="AC139" s="13">
        <f t="shared" si="24"/>
        <v>4.2429941100708669E-2</v>
      </c>
      <c r="AD139">
        <v>6</v>
      </c>
      <c r="AE139" t="s">
        <v>23</v>
      </c>
      <c r="AF139" t="s">
        <v>68</v>
      </c>
    </row>
    <row r="140" spans="1:32" x14ac:dyDescent="0.3">
      <c r="A140" s="1" t="s">
        <v>104</v>
      </c>
      <c r="B140" s="1">
        <v>1011</v>
      </c>
      <c r="C140" s="1" t="s">
        <v>75</v>
      </c>
      <c r="D140" s="8">
        <v>575.49699999999996</v>
      </c>
      <c r="E140" s="8">
        <v>-52.610999999999997</v>
      </c>
      <c r="F140" s="8">
        <v>347.42399999999998</v>
      </c>
      <c r="G140" t="s">
        <v>61</v>
      </c>
      <c r="H140">
        <v>51008</v>
      </c>
      <c r="I140" t="s">
        <v>16</v>
      </c>
      <c r="J140" s="11">
        <v>575.46215288081669</v>
      </c>
      <c r="K140" s="11">
        <v>-52.474425414213428</v>
      </c>
      <c r="L140" s="11">
        <v>347.41565914997909</v>
      </c>
      <c r="M140" s="13">
        <f t="shared" si="17"/>
        <v>3.484711918326866E-2</v>
      </c>
      <c r="N140" s="13">
        <f t="shared" si="18"/>
        <v>-0.136574585786569</v>
      </c>
      <c r="O140" s="13">
        <f t="shared" si="19"/>
        <v>8.3408500208861369E-3</v>
      </c>
      <c r="P140" s="13">
        <f t="shared" si="20"/>
        <v>0.14119670313862412</v>
      </c>
      <c r="Q140">
        <v>7</v>
      </c>
      <c r="R140" t="s">
        <v>17</v>
      </c>
      <c r="S140" t="s">
        <v>18</v>
      </c>
      <c r="T140" t="s">
        <v>61</v>
      </c>
      <c r="U140">
        <v>1011</v>
      </c>
      <c r="V140" s="6" t="s">
        <v>42</v>
      </c>
      <c r="W140" s="11">
        <v>575.49699999999996</v>
      </c>
      <c r="X140" s="11">
        <v>-52.610999999999997</v>
      </c>
      <c r="Y140" s="11">
        <v>347.42399999999998</v>
      </c>
      <c r="Z140" s="13"/>
      <c r="AA140" s="13"/>
      <c r="AB140" s="13"/>
      <c r="AC140" s="13"/>
      <c r="AD140">
        <v>7</v>
      </c>
      <c r="AE140" t="s">
        <v>17</v>
      </c>
    </row>
    <row r="141" spans="1:32" x14ac:dyDescent="0.3">
      <c r="A141" s="1" t="s">
        <v>104</v>
      </c>
      <c r="B141" s="1">
        <v>1021</v>
      </c>
      <c r="C141" s="1" t="s">
        <v>76</v>
      </c>
      <c r="D141" s="8">
        <v>1297.0840000000001</v>
      </c>
      <c r="E141" s="8">
        <v>-47.313000000000002</v>
      </c>
      <c r="F141" s="8">
        <v>-488.86799999999999</v>
      </c>
      <c r="G141" t="s">
        <v>61</v>
      </c>
      <c r="H141">
        <v>51011</v>
      </c>
      <c r="I141" t="s">
        <v>19</v>
      </c>
      <c r="J141" s="11">
        <v>1297.057514393771</v>
      </c>
      <c r="K141" s="11">
        <v>-46.994891680843253</v>
      </c>
      <c r="L141" s="11">
        <v>-488.83676064635421</v>
      </c>
      <c r="M141" s="13">
        <f t="shared" si="17"/>
        <v>2.6485606229016412E-2</v>
      </c>
      <c r="N141" s="13">
        <f t="shared" si="18"/>
        <v>-0.31810831915674953</v>
      </c>
      <c r="O141" s="13">
        <f t="shared" si="19"/>
        <v>-3.123935364578756E-2</v>
      </c>
      <c r="P141" s="13">
        <f t="shared" si="20"/>
        <v>0.32073398209459736</v>
      </c>
      <c r="Q141">
        <v>7</v>
      </c>
      <c r="R141" t="s">
        <v>17</v>
      </c>
      <c r="S141" t="s">
        <v>18</v>
      </c>
      <c r="T141" t="s">
        <v>61</v>
      </c>
      <c r="U141">
        <v>1021</v>
      </c>
      <c r="V141" s="6" t="s">
        <v>43</v>
      </c>
      <c r="W141" s="11">
        <v>1297.0840000000001</v>
      </c>
      <c r="X141" s="11">
        <v>-47.313000000000002</v>
      </c>
      <c r="Y141" s="11">
        <v>-488.86800000000011</v>
      </c>
      <c r="Z141" s="13"/>
      <c r="AA141" s="13"/>
      <c r="AB141" s="13"/>
      <c r="AC141" s="13"/>
      <c r="AD141">
        <v>7</v>
      </c>
      <c r="AE141" t="s">
        <v>17</v>
      </c>
    </row>
    <row r="142" spans="1:32" x14ac:dyDescent="0.3">
      <c r="A142" s="1" t="s">
        <v>104</v>
      </c>
      <c r="B142" s="1">
        <v>1032</v>
      </c>
      <c r="C142" s="1" t="s">
        <v>77</v>
      </c>
      <c r="D142" s="8">
        <v>605.36800000000005</v>
      </c>
      <c r="E142" s="8">
        <v>-46.253</v>
      </c>
      <c r="F142" s="8">
        <v>-1114.9079999999999</v>
      </c>
      <c r="G142" t="s">
        <v>61</v>
      </c>
      <c r="H142">
        <v>51024</v>
      </c>
      <c r="I142" t="s">
        <v>20</v>
      </c>
      <c r="J142" s="11">
        <v>605.34663815658769</v>
      </c>
      <c r="K142" s="11">
        <v>-46.273737529294273</v>
      </c>
      <c r="L142" s="11">
        <v>-1114.895162607655</v>
      </c>
      <c r="M142" s="13">
        <f t="shared" si="17"/>
        <v>2.1361843412364578E-2</v>
      </c>
      <c r="N142" s="13">
        <f t="shared" si="18"/>
        <v>2.0737529294272861E-2</v>
      </c>
      <c r="O142" s="13">
        <f t="shared" si="19"/>
        <v>-1.2837392344863474E-2</v>
      </c>
      <c r="P142" s="13">
        <f t="shared" si="20"/>
        <v>3.2421784611911295E-2</v>
      </c>
      <c r="Q142">
        <v>7</v>
      </c>
      <c r="R142" t="s">
        <v>17</v>
      </c>
      <c r="S142" t="s">
        <v>18</v>
      </c>
      <c r="T142" t="s">
        <v>61</v>
      </c>
      <c r="U142">
        <v>1032</v>
      </c>
      <c r="V142" s="6" t="s">
        <v>44</v>
      </c>
      <c r="W142" s="11">
        <v>605.36800000000005</v>
      </c>
      <c r="X142" s="11">
        <v>-46.253</v>
      </c>
      <c r="Y142" s="11">
        <v>-1114.9079999999999</v>
      </c>
      <c r="Z142" s="13"/>
      <c r="AA142" s="13"/>
      <c r="AB142" s="13"/>
      <c r="AC142" s="13"/>
      <c r="AD142">
        <v>7</v>
      </c>
      <c r="AE142" t="s">
        <v>17</v>
      </c>
    </row>
    <row r="143" spans="1:32" x14ac:dyDescent="0.3">
      <c r="A143" s="1" t="s">
        <v>104</v>
      </c>
      <c r="B143" s="1">
        <v>1002</v>
      </c>
      <c r="C143" s="1" t="s">
        <v>78</v>
      </c>
      <c r="D143" s="8">
        <v>-115.43</v>
      </c>
      <c r="E143" s="8">
        <v>-51.466999999999999</v>
      </c>
      <c r="F143" s="8">
        <v>-283.476</v>
      </c>
      <c r="G143" t="s">
        <v>61</v>
      </c>
      <c r="H143">
        <v>51003</v>
      </c>
      <c r="I143" t="s">
        <v>21</v>
      </c>
      <c r="J143" s="11">
        <v>-115.4413479721045</v>
      </c>
      <c r="K143" s="11">
        <v>-51.447611262364568</v>
      </c>
      <c r="L143" s="11">
        <v>-283.47169958200197</v>
      </c>
      <c r="M143" s="13">
        <f t="shared" si="17"/>
        <v>1.1347972104488235E-2</v>
      </c>
      <c r="N143" s="13">
        <f t="shared" si="18"/>
        <v>-1.9388737635431141E-2</v>
      </c>
      <c r="O143" s="13">
        <f t="shared" si="19"/>
        <v>-4.3004179980243862E-3</v>
      </c>
      <c r="P143" s="13">
        <f t="shared" si="20"/>
        <v>2.2873417167916979E-2</v>
      </c>
      <c r="Q143">
        <v>7</v>
      </c>
      <c r="R143" t="s">
        <v>17</v>
      </c>
      <c r="S143" t="s">
        <v>18</v>
      </c>
      <c r="T143" t="s">
        <v>61</v>
      </c>
      <c r="U143">
        <v>1002</v>
      </c>
      <c r="V143" s="6" t="s">
        <v>45</v>
      </c>
      <c r="W143" s="11">
        <v>-115.43</v>
      </c>
      <c r="X143" s="11">
        <v>-51.466999999999999</v>
      </c>
      <c r="Y143" s="11">
        <v>-283.476</v>
      </c>
      <c r="Z143" s="13"/>
      <c r="AA143" s="13"/>
      <c r="AB143" s="13"/>
      <c r="AC143" s="13"/>
      <c r="AD143">
        <v>7</v>
      </c>
      <c r="AE143" t="s">
        <v>17</v>
      </c>
    </row>
    <row r="144" spans="1:32" x14ac:dyDescent="0.3">
      <c r="A144" s="1" t="s">
        <v>104</v>
      </c>
      <c r="B144" s="1">
        <v>501</v>
      </c>
      <c r="C144" s="1" t="s">
        <v>94</v>
      </c>
      <c r="D144" s="8">
        <v>-2.9000000000000001E-2</v>
      </c>
      <c r="E144" s="8">
        <v>0.20799999999999999</v>
      </c>
      <c r="F144" s="8">
        <v>-0.55100000000000005</v>
      </c>
      <c r="G144" t="s">
        <v>61</v>
      </c>
      <c r="H144">
        <v>501</v>
      </c>
      <c r="I144" s="5" t="s">
        <v>10</v>
      </c>
      <c r="J144" s="11">
        <v>-2.9000000000000001E-2</v>
      </c>
      <c r="K144" s="11">
        <v>0.20799999999999999</v>
      </c>
      <c r="L144" s="11">
        <v>-0.55100000000000005</v>
      </c>
      <c r="M144" s="13"/>
      <c r="N144" s="13"/>
      <c r="O144" s="13"/>
      <c r="P144" s="13"/>
      <c r="Q144">
        <v>7</v>
      </c>
      <c r="R144" t="s">
        <v>11</v>
      </c>
      <c r="T144" t="s">
        <v>61</v>
      </c>
      <c r="U144">
        <v>50501</v>
      </c>
      <c r="V144" t="s">
        <v>67</v>
      </c>
      <c r="W144" s="11">
        <v>1.981797718265171E-2</v>
      </c>
      <c r="X144" s="11">
        <v>0.17974776474276419</v>
      </c>
      <c r="Y144" s="11">
        <v>-0.5447869982528919</v>
      </c>
      <c r="Z144" s="13">
        <f t="shared" si="21"/>
        <v>-4.8817977182651712E-2</v>
      </c>
      <c r="AA144" s="13">
        <f t="shared" si="22"/>
        <v>2.8252235257235803E-2</v>
      </c>
      <c r="AB144" s="13">
        <f t="shared" si="23"/>
        <v>-6.2130017471081489E-3</v>
      </c>
      <c r="AC144" s="13">
        <f t="shared" si="24"/>
        <v>5.6744912405833084E-2</v>
      </c>
      <c r="AD144">
        <v>7</v>
      </c>
      <c r="AE144" t="s">
        <v>11</v>
      </c>
      <c r="AF144" t="s">
        <v>68</v>
      </c>
    </row>
    <row r="145" spans="1:32" x14ac:dyDescent="0.3">
      <c r="A145" s="1" t="s">
        <v>104</v>
      </c>
      <c r="B145" s="1">
        <v>502</v>
      </c>
      <c r="C145" s="1" t="s">
        <v>85</v>
      </c>
      <c r="D145" s="8">
        <v>172.23</v>
      </c>
      <c r="E145" s="8">
        <v>0.27300000000000002</v>
      </c>
      <c r="F145" s="8">
        <v>-175.715</v>
      </c>
      <c r="G145" t="s">
        <v>61</v>
      </c>
      <c r="H145">
        <v>502</v>
      </c>
      <c r="I145" s="5" t="s">
        <v>12</v>
      </c>
      <c r="J145" s="11">
        <v>172.23</v>
      </c>
      <c r="K145" s="11">
        <v>0.27300000000000002</v>
      </c>
      <c r="L145" s="11">
        <v>-175.715</v>
      </c>
      <c r="M145" s="13"/>
      <c r="N145" s="13"/>
      <c r="O145" s="13"/>
      <c r="P145" s="13"/>
      <c r="Q145">
        <v>7</v>
      </c>
      <c r="R145" t="s">
        <v>11</v>
      </c>
      <c r="T145" t="s">
        <v>61</v>
      </c>
      <c r="U145">
        <v>50502</v>
      </c>
      <c r="V145" t="s">
        <v>69</v>
      </c>
      <c r="W145" s="11">
        <v>172.26863920289509</v>
      </c>
      <c r="X145" s="11">
        <v>0.23990220535920331</v>
      </c>
      <c r="Y145" s="11">
        <v>-175.7101068073288</v>
      </c>
      <c r="Z145" s="13">
        <f t="shared" si="21"/>
        <v>-3.8639202895097924E-2</v>
      </c>
      <c r="AA145" s="13">
        <f t="shared" si="22"/>
        <v>3.3097794640796707E-2</v>
      </c>
      <c r="AB145" s="13">
        <f t="shared" si="23"/>
        <v>-4.8931926712043605E-3</v>
      </c>
      <c r="AC145" s="13">
        <f t="shared" si="24"/>
        <v>5.1111596971435191E-2</v>
      </c>
      <c r="AD145">
        <v>7</v>
      </c>
      <c r="AE145" t="s">
        <v>11</v>
      </c>
      <c r="AF145" t="s">
        <v>68</v>
      </c>
    </row>
    <row r="146" spans="1:32" x14ac:dyDescent="0.3">
      <c r="A146" s="1" t="s">
        <v>104</v>
      </c>
      <c r="B146" s="1">
        <v>503</v>
      </c>
      <c r="C146" s="1" t="s">
        <v>95</v>
      </c>
      <c r="D146" s="8">
        <v>170.684</v>
      </c>
      <c r="E146" s="8">
        <v>-0.26900000000000002</v>
      </c>
      <c r="F146" s="8">
        <v>-1.415</v>
      </c>
      <c r="G146" t="s">
        <v>61</v>
      </c>
      <c r="H146">
        <v>503</v>
      </c>
      <c r="I146" s="5" t="s">
        <v>13</v>
      </c>
      <c r="J146" s="11">
        <v>170.684</v>
      </c>
      <c r="K146" s="11">
        <v>-0.26900000000000002</v>
      </c>
      <c r="L146" s="11">
        <v>-1.415</v>
      </c>
      <c r="M146" s="13"/>
      <c r="N146" s="13"/>
      <c r="O146" s="13"/>
      <c r="P146" s="13"/>
      <c r="Q146">
        <v>7</v>
      </c>
      <c r="R146" t="s">
        <v>11</v>
      </c>
      <c r="T146" t="s">
        <v>61</v>
      </c>
      <c r="U146">
        <v>50503</v>
      </c>
      <c r="V146" t="s">
        <v>70</v>
      </c>
      <c r="W146" s="11">
        <v>170.72854536511409</v>
      </c>
      <c r="X146" s="11">
        <v>-0.33340326958190553</v>
      </c>
      <c r="Y146" s="11">
        <v>-1.4083692403635579</v>
      </c>
      <c r="Z146" s="13">
        <f t="shared" si="21"/>
        <v>-4.4545365114089464E-2</v>
      </c>
      <c r="AA146" s="13">
        <f t="shared" si="22"/>
        <v>6.4403269581905509E-2</v>
      </c>
      <c r="AB146" s="13">
        <f t="shared" si="23"/>
        <v>-6.6307596364421073E-3</v>
      </c>
      <c r="AC146" s="13">
        <f t="shared" si="24"/>
        <v>7.8587770418452552E-2</v>
      </c>
      <c r="AD146">
        <v>7</v>
      </c>
      <c r="AE146" t="s">
        <v>11</v>
      </c>
      <c r="AF146" t="s">
        <v>68</v>
      </c>
    </row>
    <row r="147" spans="1:32" x14ac:dyDescent="0.3">
      <c r="A147" s="1" t="s">
        <v>104</v>
      </c>
      <c r="B147" s="1">
        <v>504</v>
      </c>
      <c r="C147" s="1" t="s">
        <v>87</v>
      </c>
      <c r="D147" s="8">
        <v>346.45600000000002</v>
      </c>
      <c r="E147" s="8">
        <v>0.34399999999999997</v>
      </c>
      <c r="F147" s="8">
        <v>-0.30099999999999999</v>
      </c>
      <c r="G147" t="s">
        <v>61</v>
      </c>
      <c r="H147">
        <v>504</v>
      </c>
      <c r="I147" s="5" t="s">
        <v>14</v>
      </c>
      <c r="J147" s="11">
        <v>346.45600000000002</v>
      </c>
      <c r="K147" s="11">
        <v>0.34399999999999997</v>
      </c>
      <c r="L147" s="11">
        <v>-0.30099999999999999</v>
      </c>
      <c r="M147" s="13"/>
      <c r="N147" s="13"/>
      <c r="O147" s="13"/>
      <c r="P147" s="13"/>
      <c r="Q147">
        <v>7</v>
      </c>
      <c r="R147" t="s">
        <v>11</v>
      </c>
      <c r="T147" t="s">
        <v>61</v>
      </c>
      <c r="U147">
        <v>50504</v>
      </c>
      <c r="V147" t="s">
        <v>71</v>
      </c>
      <c r="W147" s="11">
        <v>346.48228327851058</v>
      </c>
      <c r="X147" s="11">
        <v>0.2369149970179911</v>
      </c>
      <c r="Y147" s="11">
        <v>-0.30086142824016943</v>
      </c>
      <c r="Z147" s="13">
        <f t="shared" si="21"/>
        <v>-2.6283278510561559E-2</v>
      </c>
      <c r="AA147" s="13">
        <f t="shared" si="22"/>
        <v>0.10708500298200888</v>
      </c>
      <c r="AB147" s="13">
        <f t="shared" si="23"/>
        <v>-1.3857175983056358E-4</v>
      </c>
      <c r="AC147" s="13">
        <f t="shared" si="24"/>
        <v>0.11026344723004636</v>
      </c>
      <c r="AD147">
        <v>7</v>
      </c>
      <c r="AE147" t="s">
        <v>11</v>
      </c>
      <c r="AF147" t="s">
        <v>68</v>
      </c>
    </row>
    <row r="148" spans="1:32" x14ac:dyDescent="0.3">
      <c r="A148" s="1" t="s">
        <v>104</v>
      </c>
      <c r="B148" s="1">
        <v>505</v>
      </c>
      <c r="C148" s="1" t="s">
        <v>96</v>
      </c>
      <c r="D148" s="8">
        <v>169.745</v>
      </c>
      <c r="E148" s="8">
        <v>0.35299999999999998</v>
      </c>
      <c r="F148" s="8">
        <v>174.72</v>
      </c>
      <c r="G148" t="s">
        <v>61</v>
      </c>
      <c r="H148">
        <v>505</v>
      </c>
      <c r="I148" s="5" t="s">
        <v>15</v>
      </c>
      <c r="J148" s="11">
        <v>169.745</v>
      </c>
      <c r="K148" s="11">
        <v>0.35299999999999998</v>
      </c>
      <c r="L148" s="11">
        <v>174.72</v>
      </c>
      <c r="M148" s="13"/>
      <c r="N148" s="13"/>
      <c r="O148" s="13"/>
      <c r="P148" s="13"/>
      <c r="Q148">
        <v>7</v>
      </c>
      <c r="R148" t="s">
        <v>11</v>
      </c>
      <c r="T148" t="s">
        <v>61</v>
      </c>
      <c r="U148">
        <v>50505</v>
      </c>
      <c r="V148" t="s">
        <v>72</v>
      </c>
      <c r="W148" s="11">
        <v>169.7875083598334</v>
      </c>
      <c r="X148" s="11">
        <v>0.28121427536518873</v>
      </c>
      <c r="Y148" s="11">
        <v>174.7090321584424</v>
      </c>
      <c r="Z148" s="13">
        <f t="shared" si="21"/>
        <v>-4.2508359833391296E-2</v>
      </c>
      <c r="AA148" s="13">
        <f t="shared" si="22"/>
        <v>7.1785724634811254E-2</v>
      </c>
      <c r="AB148" s="13">
        <f t="shared" si="23"/>
        <v>1.0967841557601332E-2</v>
      </c>
      <c r="AC148" s="13">
        <f t="shared" si="24"/>
        <v>8.4145376970470989E-2</v>
      </c>
      <c r="AD148">
        <v>7</v>
      </c>
      <c r="AE148" t="s">
        <v>11</v>
      </c>
      <c r="AF148" t="s">
        <v>68</v>
      </c>
    </row>
    <row r="149" spans="1:32" x14ac:dyDescent="0.3">
      <c r="A149" s="1" t="s">
        <v>104</v>
      </c>
      <c r="B149" s="1">
        <v>116</v>
      </c>
      <c r="C149" s="1" t="s">
        <v>81</v>
      </c>
      <c r="D149" s="8">
        <v>1012.535</v>
      </c>
      <c r="E149" s="8">
        <v>-626.34199999999998</v>
      </c>
      <c r="F149" s="8">
        <v>-1134.8309999999999</v>
      </c>
      <c r="G149" t="s">
        <v>61</v>
      </c>
      <c r="H149">
        <v>50116</v>
      </c>
      <c r="I149" t="s">
        <v>22</v>
      </c>
      <c r="J149" s="11">
        <v>1012.667237061441</v>
      </c>
      <c r="K149" s="11">
        <v>-626.21153636901556</v>
      </c>
      <c r="L149" s="11">
        <v>-1134.6622042775771</v>
      </c>
      <c r="M149" s="13">
        <f t="shared" si="17"/>
        <v>-0.13223706144106018</v>
      </c>
      <c r="N149" s="13">
        <f t="shared" si="18"/>
        <v>-0.13046363098442271</v>
      </c>
      <c r="O149" s="13">
        <f t="shared" si="19"/>
        <v>-0.16879572242282848</v>
      </c>
      <c r="P149" s="13">
        <f t="shared" si="20"/>
        <v>0.25099680343871095</v>
      </c>
      <c r="Q149">
        <v>7</v>
      </c>
      <c r="R149" t="s">
        <v>23</v>
      </c>
      <c r="S149" t="s">
        <v>18</v>
      </c>
      <c r="T149" t="s">
        <v>61</v>
      </c>
      <c r="U149">
        <v>50116</v>
      </c>
      <c r="V149" t="s">
        <v>22</v>
      </c>
      <c r="W149" s="11">
        <v>1012.548825672695</v>
      </c>
      <c r="X149" s="11">
        <v>-626.33711117968596</v>
      </c>
      <c r="Y149" s="11">
        <v>-1134.7426733872369</v>
      </c>
      <c r="Z149" s="13">
        <f t="shared" si="21"/>
        <v>-1.382567269502033E-2</v>
      </c>
      <c r="AA149" s="13">
        <f t="shared" si="22"/>
        <v>-4.8888203140222686E-3</v>
      </c>
      <c r="AB149" s="13">
        <f t="shared" si="23"/>
        <v>-8.8326612763012236E-2</v>
      </c>
      <c r="AC149" s="13">
        <f t="shared" si="24"/>
        <v>8.9535692948230119E-2</v>
      </c>
      <c r="AD149">
        <v>7</v>
      </c>
      <c r="AE149" t="s">
        <v>23</v>
      </c>
      <c r="AF149" t="s">
        <v>68</v>
      </c>
    </row>
    <row r="150" spans="1:32" x14ac:dyDescent="0.3">
      <c r="A150" s="1" t="s">
        <v>104</v>
      </c>
      <c r="B150" s="1">
        <v>121</v>
      </c>
      <c r="C150" s="1" t="s">
        <v>93</v>
      </c>
      <c r="D150" s="8">
        <v>635.32100000000003</v>
      </c>
      <c r="E150" s="8">
        <v>-99.519000000000005</v>
      </c>
      <c r="F150" s="8">
        <v>96.186000000000007</v>
      </c>
      <c r="G150" t="s">
        <v>61</v>
      </c>
      <c r="H150">
        <v>50121</v>
      </c>
      <c r="I150" t="s">
        <v>24</v>
      </c>
      <c r="J150" s="11">
        <v>635.28429920502799</v>
      </c>
      <c r="K150" s="11">
        <v>-99.344607229476253</v>
      </c>
      <c r="L150" s="11">
        <v>96.19518220610243</v>
      </c>
      <c r="M150" s="13">
        <f t="shared" si="17"/>
        <v>3.6700794972034601E-2</v>
      </c>
      <c r="N150" s="13">
        <f t="shared" si="18"/>
        <v>-0.17439277052375246</v>
      </c>
      <c r="O150" s="13">
        <f t="shared" si="19"/>
        <v>-9.1822061024231516E-3</v>
      </c>
      <c r="P150" s="13">
        <f t="shared" si="20"/>
        <v>0.17844915150102811</v>
      </c>
      <c r="Q150">
        <v>7</v>
      </c>
      <c r="R150" t="s">
        <v>23</v>
      </c>
      <c r="S150" t="s">
        <v>18</v>
      </c>
      <c r="T150" t="s">
        <v>61</v>
      </c>
      <c r="U150">
        <v>50121</v>
      </c>
      <c r="V150" t="s">
        <v>24</v>
      </c>
      <c r="W150" s="11">
        <v>635.30312103070446</v>
      </c>
      <c r="X150" s="11">
        <v>-99.521965656265536</v>
      </c>
      <c r="Y150" s="11">
        <v>96.178944525051477</v>
      </c>
      <c r="Z150" s="13">
        <f t="shared" si="21"/>
        <v>1.7878969295566094E-2</v>
      </c>
      <c r="AA150" s="13">
        <f t="shared" si="22"/>
        <v>2.9656562655304697E-3</v>
      </c>
      <c r="AB150" s="13">
        <f t="shared" si="23"/>
        <v>7.0554749485296497E-3</v>
      </c>
      <c r="AC150" s="13">
        <f t="shared" si="24"/>
        <v>1.9448197523328603E-2</v>
      </c>
      <c r="AD150">
        <v>7</v>
      </c>
      <c r="AE150" t="s">
        <v>23</v>
      </c>
      <c r="AF150" t="s">
        <v>68</v>
      </c>
    </row>
    <row r="151" spans="1:32" x14ac:dyDescent="0.3">
      <c r="A151" s="1" t="s">
        <v>104</v>
      </c>
      <c r="B151" s="1">
        <v>13</v>
      </c>
      <c r="C151" s="1" t="s">
        <v>80</v>
      </c>
      <c r="D151" s="8">
        <v>279.68599999999998</v>
      </c>
      <c r="E151" s="8">
        <v>3.6240000000000001</v>
      </c>
      <c r="F151" s="8">
        <v>200.50200000000001</v>
      </c>
      <c r="G151" t="s">
        <v>61</v>
      </c>
      <c r="H151">
        <v>50013</v>
      </c>
      <c r="I151" t="s">
        <v>25</v>
      </c>
      <c r="J151" s="11">
        <v>279.67531314651558</v>
      </c>
      <c r="K151" s="11">
        <v>3.650361776478011</v>
      </c>
      <c r="L151" s="11">
        <v>200.49145777411789</v>
      </c>
      <c r="M151" s="13">
        <f t="shared" si="17"/>
        <v>1.0686853484401126E-2</v>
      </c>
      <c r="N151" s="13">
        <f t="shared" si="18"/>
        <v>-2.6361776478010857E-2</v>
      </c>
      <c r="O151" s="13">
        <f t="shared" si="19"/>
        <v>1.0542225882119283E-2</v>
      </c>
      <c r="P151" s="13">
        <f t="shared" si="20"/>
        <v>3.0336292176587579E-2</v>
      </c>
      <c r="Q151">
        <v>7</v>
      </c>
      <c r="R151" t="s">
        <v>23</v>
      </c>
      <c r="S151" t="s">
        <v>18</v>
      </c>
      <c r="T151" t="s">
        <v>61</v>
      </c>
      <c r="U151">
        <v>50013</v>
      </c>
      <c r="V151" t="s">
        <v>25</v>
      </c>
      <c r="W151" s="11">
        <v>279.71906684337881</v>
      </c>
      <c r="X151" s="11">
        <v>3.5423510878888118</v>
      </c>
      <c r="Y151" s="11">
        <v>200.4917180728084</v>
      </c>
      <c r="Z151" s="13">
        <f t="shared" si="21"/>
        <v>-3.3066843378833255E-2</v>
      </c>
      <c r="AA151" s="13">
        <f t="shared" si="22"/>
        <v>8.1648912111188299E-2</v>
      </c>
      <c r="AB151" s="13">
        <f t="shared" si="23"/>
        <v>1.0281927191613249E-2</v>
      </c>
      <c r="AC151" s="13">
        <f t="shared" si="24"/>
        <v>8.8688663349689043E-2</v>
      </c>
      <c r="AD151">
        <v>7</v>
      </c>
      <c r="AE151" t="s">
        <v>23</v>
      </c>
      <c r="AF151" t="s">
        <v>68</v>
      </c>
    </row>
    <row r="152" spans="1:32" x14ac:dyDescent="0.3">
      <c r="A152" s="1" t="s">
        <v>104</v>
      </c>
      <c r="B152" s="1">
        <v>34</v>
      </c>
      <c r="C152" s="1" t="s">
        <v>74</v>
      </c>
      <c r="D152" s="8">
        <v>758.15599999999995</v>
      </c>
      <c r="E152" s="8">
        <v>-95.566000000000003</v>
      </c>
      <c r="F152" s="8">
        <v>-665.63099999999997</v>
      </c>
      <c r="G152" t="s">
        <v>61</v>
      </c>
      <c r="H152">
        <v>50034</v>
      </c>
      <c r="I152" t="s">
        <v>26</v>
      </c>
      <c r="J152" s="11">
        <v>758.12353736709497</v>
      </c>
      <c r="K152" s="11">
        <v>-95.433916673009946</v>
      </c>
      <c r="L152" s="11">
        <v>-665.60886170980802</v>
      </c>
      <c r="M152" s="13">
        <f t="shared" si="17"/>
        <v>3.2462632904980637E-2</v>
      </c>
      <c r="N152" s="13">
        <f t="shared" si="18"/>
        <v>-0.13208332699005609</v>
      </c>
      <c r="O152" s="13">
        <f t="shared" si="19"/>
        <v>-2.2138290191946908E-2</v>
      </c>
      <c r="P152" s="13">
        <f t="shared" si="20"/>
        <v>0.13780396110601634</v>
      </c>
      <c r="Q152">
        <v>7</v>
      </c>
      <c r="R152" t="s">
        <v>23</v>
      </c>
      <c r="S152" t="s">
        <v>18</v>
      </c>
      <c r="T152" t="s">
        <v>61</v>
      </c>
      <c r="U152">
        <v>50034</v>
      </c>
      <c r="V152" t="s">
        <v>26</v>
      </c>
      <c r="W152" s="11">
        <v>758.13261449094682</v>
      </c>
      <c r="X152" s="11">
        <v>-95.554006320189103</v>
      </c>
      <c r="Y152" s="11">
        <v>-665.62637449976853</v>
      </c>
      <c r="Z152" s="13">
        <f t="shared" si="21"/>
        <v>2.3385509053127862E-2</v>
      </c>
      <c r="AA152" s="13">
        <f t="shared" si="22"/>
        <v>-1.1993679810899494E-2</v>
      </c>
      <c r="AB152" s="13">
        <f t="shared" si="23"/>
        <v>-4.6255002314410376E-3</v>
      </c>
      <c r="AC152" s="13">
        <f t="shared" si="24"/>
        <v>2.6685682331005971E-2</v>
      </c>
      <c r="AD152">
        <v>7</v>
      </c>
      <c r="AE152" t="s">
        <v>23</v>
      </c>
      <c r="AF152" t="s">
        <v>68</v>
      </c>
    </row>
    <row r="153" spans="1:32" x14ac:dyDescent="0.3">
      <c r="A153" s="1" t="s">
        <v>104</v>
      </c>
      <c r="B153" s="1">
        <v>37</v>
      </c>
      <c r="C153" s="1" t="s">
        <v>79</v>
      </c>
      <c r="D153" s="8">
        <v>33.529000000000003</v>
      </c>
      <c r="E153" s="8">
        <v>-99.128</v>
      </c>
      <c r="F153" s="8">
        <v>-391.09399999999999</v>
      </c>
      <c r="G153" t="s">
        <v>61</v>
      </c>
      <c r="H153">
        <v>50037</v>
      </c>
      <c r="I153" t="s">
        <v>27</v>
      </c>
      <c r="J153" s="11">
        <v>33.532569734598397</v>
      </c>
      <c r="K153" s="11">
        <v>-99.153731952112551</v>
      </c>
      <c r="L153" s="11">
        <v>-391.09863351446018</v>
      </c>
      <c r="M153" s="13">
        <f t="shared" si="17"/>
        <v>-3.5697345983933815E-3</v>
      </c>
      <c r="N153" s="13">
        <f t="shared" si="18"/>
        <v>2.5731952112550971E-2</v>
      </c>
      <c r="O153" s="13">
        <f t="shared" si="19"/>
        <v>4.6335144601812317E-3</v>
      </c>
      <c r="P153" s="13">
        <f t="shared" si="20"/>
        <v>2.6388365255890552E-2</v>
      </c>
      <c r="Q153">
        <v>7</v>
      </c>
      <c r="R153" t="s">
        <v>23</v>
      </c>
      <c r="S153" t="s">
        <v>18</v>
      </c>
      <c r="T153" t="s">
        <v>61</v>
      </c>
      <c r="U153">
        <v>50037</v>
      </c>
      <c r="V153" t="s">
        <v>27</v>
      </c>
      <c r="W153" s="11">
        <v>33.54464954601589</v>
      </c>
      <c r="X153" s="11">
        <v>-99.139449568324949</v>
      </c>
      <c r="Y153" s="11">
        <v>-391.10643271438892</v>
      </c>
      <c r="Z153" s="13">
        <f t="shared" si="21"/>
        <v>-1.5649546015886528E-2</v>
      </c>
      <c r="AA153" s="13">
        <f t="shared" si="22"/>
        <v>1.14495683249487E-2</v>
      </c>
      <c r="AB153" s="13">
        <f t="shared" si="23"/>
        <v>1.2432714388921795E-2</v>
      </c>
      <c r="AC153" s="13">
        <f t="shared" si="24"/>
        <v>2.3034176616660764E-2</v>
      </c>
      <c r="AD153">
        <v>7</v>
      </c>
      <c r="AE153" t="s">
        <v>23</v>
      </c>
      <c r="AF153" t="s">
        <v>68</v>
      </c>
    </row>
    <row r="154" spans="1:32" x14ac:dyDescent="0.3">
      <c r="A154" s="1" t="s">
        <v>104</v>
      </c>
      <c r="B154" s="1">
        <v>4</v>
      </c>
      <c r="C154" s="1" t="s">
        <v>88</v>
      </c>
      <c r="D154" s="8">
        <v>1046.2090000000001</v>
      </c>
      <c r="E154" s="8">
        <v>-514.08600000000001</v>
      </c>
      <c r="F154" s="8">
        <v>-1104.646</v>
      </c>
      <c r="G154" t="s">
        <v>61</v>
      </c>
      <c r="H154">
        <v>50004</v>
      </c>
      <c r="I154" t="s">
        <v>29</v>
      </c>
      <c r="J154" s="11">
        <v>1046.3713145933141</v>
      </c>
      <c r="K154" s="11">
        <v>-513.92962091555285</v>
      </c>
      <c r="L154" s="11">
        <v>-1104.5791920581039</v>
      </c>
      <c r="M154" s="13">
        <f t="shared" si="17"/>
        <v>-0.1623145933140222</v>
      </c>
      <c r="N154" s="13">
        <f t="shared" si="18"/>
        <v>-0.15637908444716686</v>
      </c>
      <c r="O154" s="13">
        <f t="shared" si="19"/>
        <v>-6.6807941896058765E-2</v>
      </c>
      <c r="P154" s="13">
        <f t="shared" si="20"/>
        <v>0.23508242459958112</v>
      </c>
      <c r="Q154">
        <v>7</v>
      </c>
      <c r="R154" t="s">
        <v>23</v>
      </c>
      <c r="S154" t="s">
        <v>18</v>
      </c>
      <c r="T154" t="s">
        <v>61</v>
      </c>
      <c r="U154">
        <v>50004</v>
      </c>
      <c r="V154" t="s">
        <v>29</v>
      </c>
      <c r="W154" s="11">
        <v>1046.278905123316</v>
      </c>
      <c r="X154" s="11">
        <v>-514.06624534442756</v>
      </c>
      <c r="Y154" s="11">
        <v>-1104.6475669872559</v>
      </c>
      <c r="Z154" s="13">
        <f t="shared" si="21"/>
        <v>-6.9905123315948003E-2</v>
      </c>
      <c r="AA154" s="13">
        <f t="shared" si="22"/>
        <v>-1.9754655572455704E-2</v>
      </c>
      <c r="AB154" s="13">
        <f t="shared" si="23"/>
        <v>1.5669872559556097E-3</v>
      </c>
      <c r="AC154" s="13">
        <f t="shared" si="24"/>
        <v>7.2659673352311313E-2</v>
      </c>
      <c r="AD154">
        <v>7</v>
      </c>
      <c r="AE154" t="s">
        <v>23</v>
      </c>
      <c r="AF154" t="s">
        <v>68</v>
      </c>
    </row>
    <row r="155" spans="1:32" x14ac:dyDescent="0.3">
      <c r="A155" s="1" t="s">
        <v>104</v>
      </c>
      <c r="B155" s="1">
        <v>42</v>
      </c>
      <c r="C155" s="1" t="s">
        <v>90</v>
      </c>
      <c r="D155" s="8">
        <v>1083.403</v>
      </c>
      <c r="E155" s="8">
        <v>-97.3</v>
      </c>
      <c r="F155" s="8">
        <v>-356.20400000000001</v>
      </c>
      <c r="G155" t="s">
        <v>61</v>
      </c>
      <c r="H155">
        <v>50042</v>
      </c>
      <c r="I155" t="s">
        <v>28</v>
      </c>
      <c r="J155" s="11">
        <v>1083.3888777102061</v>
      </c>
      <c r="K155" s="11">
        <v>-97.008599218592593</v>
      </c>
      <c r="L155" s="11">
        <v>-356.18782529847903</v>
      </c>
      <c r="M155" s="13">
        <f t="shared" si="17"/>
        <v>1.4122289793931486E-2</v>
      </c>
      <c r="N155" s="13">
        <f t="shared" si="18"/>
        <v>-0.291400781407404</v>
      </c>
      <c r="O155" s="13">
        <f t="shared" si="19"/>
        <v>-1.6174701520981216E-2</v>
      </c>
      <c r="P155" s="13">
        <f t="shared" si="20"/>
        <v>0.29219082025820431</v>
      </c>
      <c r="Q155">
        <v>7</v>
      </c>
      <c r="R155" t="s">
        <v>23</v>
      </c>
      <c r="S155" t="s">
        <v>18</v>
      </c>
      <c r="T155" t="s">
        <v>61</v>
      </c>
      <c r="U155">
        <v>50042</v>
      </c>
      <c r="V155" t="s">
        <v>28</v>
      </c>
      <c r="W155" s="11">
        <v>1083.4019061790491</v>
      </c>
      <c r="X155" s="11">
        <v>-97.237427309563401</v>
      </c>
      <c r="Y155" s="11">
        <v>-356.21006431882012</v>
      </c>
      <c r="Z155" s="13">
        <f t="shared" si="21"/>
        <v>1.093820950927693E-3</v>
      </c>
      <c r="AA155" s="13">
        <f t="shared" si="22"/>
        <v>-6.257269043659619E-2</v>
      </c>
      <c r="AB155" s="13">
        <f t="shared" si="23"/>
        <v>6.0643188201083831E-3</v>
      </c>
      <c r="AC155" s="13">
        <f t="shared" si="24"/>
        <v>6.2875384654876701E-2</v>
      </c>
      <c r="AD155">
        <v>7</v>
      </c>
      <c r="AE155" t="s">
        <v>23</v>
      </c>
      <c r="AF155" t="s">
        <v>68</v>
      </c>
    </row>
    <row r="156" spans="1:32" x14ac:dyDescent="0.3">
      <c r="A156" s="1" t="s">
        <v>104</v>
      </c>
      <c r="B156" s="1">
        <v>506</v>
      </c>
      <c r="C156" s="1" t="s">
        <v>82</v>
      </c>
      <c r="D156" s="8">
        <v>1148.7149999999999</v>
      </c>
      <c r="E156" s="8">
        <v>-24.04</v>
      </c>
      <c r="F156" s="8">
        <v>-460.28800000000001</v>
      </c>
      <c r="G156" t="s">
        <v>61</v>
      </c>
      <c r="H156">
        <v>50506</v>
      </c>
      <c r="I156" t="s">
        <v>30</v>
      </c>
      <c r="J156" s="11">
        <v>1148.7231609907981</v>
      </c>
      <c r="K156" s="11">
        <v>-23.77488195804596</v>
      </c>
      <c r="L156" s="11">
        <v>-460.28992851115959</v>
      </c>
      <c r="M156" s="13">
        <f t="shared" si="17"/>
        <v>-8.1609907981601282E-3</v>
      </c>
      <c r="N156" s="13">
        <f t="shared" si="18"/>
        <v>-0.26511804195403954</v>
      </c>
      <c r="O156" s="13">
        <f t="shared" si="19"/>
        <v>1.9285111595763738E-3</v>
      </c>
      <c r="P156" s="13">
        <f t="shared" si="20"/>
        <v>0.26525063071676969</v>
      </c>
      <c r="Q156">
        <v>7</v>
      </c>
      <c r="R156" t="s">
        <v>23</v>
      </c>
      <c r="S156" t="s">
        <v>18</v>
      </c>
      <c r="T156" t="s">
        <v>61</v>
      </c>
      <c r="U156">
        <v>50506</v>
      </c>
      <c r="V156" t="s">
        <v>30</v>
      </c>
      <c r="W156" s="11">
        <v>1148.751420770941</v>
      </c>
      <c r="X156" s="11">
        <v>-24.0069478707928</v>
      </c>
      <c r="Y156" s="11">
        <v>-460.30488471187272</v>
      </c>
      <c r="Z156" s="13">
        <f t="shared" si="21"/>
        <v>-3.6420770941049341E-2</v>
      </c>
      <c r="AA156" s="13">
        <f t="shared" si="22"/>
        <v>-3.3052129207199243E-2</v>
      </c>
      <c r="AB156" s="13">
        <f t="shared" si="23"/>
        <v>1.6884711872705793E-2</v>
      </c>
      <c r="AC156" s="13">
        <f t="shared" si="24"/>
        <v>5.2000089385443073E-2</v>
      </c>
      <c r="AD156">
        <v>7</v>
      </c>
      <c r="AE156" t="s">
        <v>23</v>
      </c>
      <c r="AF156" t="s">
        <v>68</v>
      </c>
    </row>
    <row r="157" spans="1:32" x14ac:dyDescent="0.3">
      <c r="A157" s="1" t="s">
        <v>104</v>
      </c>
      <c r="B157" s="1">
        <v>507</v>
      </c>
      <c r="C157" s="1" t="s">
        <v>83</v>
      </c>
      <c r="D157" s="8">
        <v>677.23599999999999</v>
      </c>
      <c r="E157" s="8">
        <v>-28.866</v>
      </c>
      <c r="F157" s="8">
        <v>-1093.873</v>
      </c>
      <c r="G157" t="s">
        <v>61</v>
      </c>
      <c r="H157">
        <v>50507</v>
      </c>
      <c r="I157" t="s">
        <v>31</v>
      </c>
      <c r="J157" s="11">
        <v>677.11869438907297</v>
      </c>
      <c r="K157" s="11">
        <v>-28.838136399466929</v>
      </c>
      <c r="L157" s="11">
        <v>-1093.7800372257741</v>
      </c>
      <c r="M157" s="13">
        <f t="shared" si="17"/>
        <v>0.11730561092701919</v>
      </c>
      <c r="N157" s="13">
        <f t="shared" si="18"/>
        <v>-2.7863600533070354E-2</v>
      </c>
      <c r="O157" s="13">
        <f t="shared" si="19"/>
        <v>-9.2962774225952671E-2</v>
      </c>
      <c r="P157" s="13">
        <f t="shared" si="20"/>
        <v>0.15224672075750326</v>
      </c>
      <c r="Q157">
        <v>7</v>
      </c>
      <c r="R157" t="s">
        <v>23</v>
      </c>
      <c r="S157" t="s">
        <v>18</v>
      </c>
      <c r="T157" t="s">
        <v>61</v>
      </c>
      <c r="U157">
        <v>50507</v>
      </c>
      <c r="V157" t="s">
        <v>31</v>
      </c>
      <c r="W157" s="11">
        <v>677.13697116590151</v>
      </c>
      <c r="X157" s="11">
        <v>-28.891853078668731</v>
      </c>
      <c r="Y157" s="11">
        <v>-1093.7889618032671</v>
      </c>
      <c r="Z157" s="13">
        <f t="shared" si="21"/>
        <v>9.9028834098476182E-2</v>
      </c>
      <c r="AA157" s="13">
        <f t="shared" si="22"/>
        <v>2.5853078668731655E-2</v>
      </c>
      <c r="AB157" s="13">
        <f t="shared" si="23"/>
        <v>-8.40381967329904E-2</v>
      </c>
      <c r="AC157" s="13">
        <f t="shared" si="24"/>
        <v>0.13242926477817485</v>
      </c>
      <c r="AD157">
        <v>7</v>
      </c>
      <c r="AE157" t="s">
        <v>23</v>
      </c>
      <c r="AF157" t="s">
        <v>68</v>
      </c>
    </row>
    <row r="158" spans="1:32" x14ac:dyDescent="0.3">
      <c r="A158" s="1" t="s">
        <v>104</v>
      </c>
      <c r="B158" s="1">
        <v>509</v>
      </c>
      <c r="C158" s="1" t="s">
        <v>97</v>
      </c>
      <c r="D158" s="8">
        <v>487.78399999999999</v>
      </c>
      <c r="E158" s="8">
        <v>-400.76600000000002</v>
      </c>
      <c r="F158" s="8">
        <v>439.85599999999999</v>
      </c>
      <c r="G158" t="s">
        <v>61</v>
      </c>
      <c r="H158">
        <v>50509</v>
      </c>
      <c r="I158" t="s">
        <v>32</v>
      </c>
      <c r="J158" s="11">
        <v>487.83591235867232</v>
      </c>
      <c r="K158" s="11">
        <v>-400.66306304804192</v>
      </c>
      <c r="L158" s="11">
        <v>439.86667989093007</v>
      </c>
      <c r="M158" s="13">
        <f t="shared" si="17"/>
        <v>-5.1912358672325354E-2</v>
      </c>
      <c r="N158" s="13">
        <f t="shared" si="18"/>
        <v>-0.1029369519580996</v>
      </c>
      <c r="O158" s="13">
        <f t="shared" si="19"/>
        <v>-1.0679890930077818E-2</v>
      </c>
      <c r="P158" s="13">
        <f t="shared" si="20"/>
        <v>0.11577983041802496</v>
      </c>
      <c r="Q158">
        <v>7</v>
      </c>
      <c r="R158" t="s">
        <v>23</v>
      </c>
      <c r="S158" t="s">
        <v>18</v>
      </c>
      <c r="T158" t="s">
        <v>61</v>
      </c>
      <c r="U158">
        <v>50509</v>
      </c>
      <c r="V158" t="s">
        <v>32</v>
      </c>
      <c r="W158" s="11">
        <v>487.79088061701037</v>
      </c>
      <c r="X158" s="11">
        <v>-400.84527844480959</v>
      </c>
      <c r="Y158" s="11">
        <v>439.81878071940162</v>
      </c>
      <c r="Z158" s="13">
        <f t="shared" si="21"/>
        <v>-6.8806170103812292E-3</v>
      </c>
      <c r="AA158" s="13">
        <f t="shared" si="22"/>
        <v>7.9278444809574466E-2</v>
      </c>
      <c r="AB158" s="13">
        <f t="shared" si="23"/>
        <v>3.7219280598378646E-2</v>
      </c>
      <c r="AC158" s="13">
        <f t="shared" si="24"/>
        <v>8.7850381616297699E-2</v>
      </c>
      <c r="AD158">
        <v>7</v>
      </c>
      <c r="AE158" t="s">
        <v>23</v>
      </c>
      <c r="AF158" t="s">
        <v>68</v>
      </c>
    </row>
    <row r="159" spans="1:32" x14ac:dyDescent="0.3">
      <c r="A159" s="1" t="s">
        <v>104</v>
      </c>
      <c r="B159" s="1">
        <v>57</v>
      </c>
      <c r="C159" s="1" t="s">
        <v>91</v>
      </c>
      <c r="D159" s="8">
        <v>381.70699999999999</v>
      </c>
      <c r="E159" s="8">
        <v>-99.251000000000005</v>
      </c>
      <c r="F159" s="8">
        <v>-132.24700000000001</v>
      </c>
      <c r="G159" t="s">
        <v>61</v>
      </c>
      <c r="H159">
        <v>50057</v>
      </c>
      <c r="I159" t="s">
        <v>33</v>
      </c>
      <c r="J159" s="11">
        <v>381.69314070264039</v>
      </c>
      <c r="K159" s="11">
        <v>-99.180613105885016</v>
      </c>
      <c r="L159" s="11">
        <v>-132.23580189693999</v>
      </c>
      <c r="M159" s="13">
        <f t="shared" si="17"/>
        <v>1.3859297359601896E-2</v>
      </c>
      <c r="N159" s="13">
        <f t="shared" si="18"/>
        <v>-7.0386894114989218E-2</v>
      </c>
      <c r="O159" s="13">
        <f t="shared" si="19"/>
        <v>-1.1198103060024778E-2</v>
      </c>
      <c r="P159" s="13">
        <f t="shared" si="20"/>
        <v>7.260711052369119E-2</v>
      </c>
      <c r="Q159">
        <v>7</v>
      </c>
      <c r="R159" t="s">
        <v>23</v>
      </c>
      <c r="S159" t="s">
        <v>18</v>
      </c>
      <c r="T159" t="s">
        <v>61</v>
      </c>
      <c r="U159">
        <v>50057</v>
      </c>
      <c r="V159" t="s">
        <v>33</v>
      </c>
      <c r="W159" s="11">
        <v>381.70881827886473</v>
      </c>
      <c r="X159" s="11">
        <v>-99.274627547935069</v>
      </c>
      <c r="Y159" s="11">
        <v>-132.2484739224904</v>
      </c>
      <c r="Z159" s="13">
        <f t="shared" si="21"/>
        <v>-1.8182788647322923E-3</v>
      </c>
      <c r="AA159" s="13">
        <f t="shared" si="22"/>
        <v>2.3627547935063831E-2</v>
      </c>
      <c r="AB159" s="13">
        <f t="shared" si="23"/>
        <v>1.4739224903905779E-3</v>
      </c>
      <c r="AC159" s="13">
        <f t="shared" si="24"/>
        <v>2.37432012787103E-2</v>
      </c>
      <c r="AD159">
        <v>7</v>
      </c>
      <c r="AE159" t="s">
        <v>23</v>
      </c>
      <c r="AF159" t="s">
        <v>68</v>
      </c>
    </row>
    <row r="160" spans="1:32" x14ac:dyDescent="0.3">
      <c r="A160" s="1" t="s">
        <v>104</v>
      </c>
      <c r="B160" s="1">
        <v>87</v>
      </c>
      <c r="C160" s="1" t="s">
        <v>86</v>
      </c>
      <c r="D160" s="8">
        <v>1199.0260000000001</v>
      </c>
      <c r="E160" s="8">
        <v>-632.56500000000005</v>
      </c>
      <c r="F160" s="8">
        <v>-974.65700000000004</v>
      </c>
      <c r="G160" t="s">
        <v>61</v>
      </c>
      <c r="H160">
        <v>50087</v>
      </c>
      <c r="I160" t="s">
        <v>34</v>
      </c>
      <c r="J160" s="11">
        <v>1199.158651775929</v>
      </c>
      <c r="K160" s="11">
        <v>-632.29283252305584</v>
      </c>
      <c r="L160" s="11">
        <v>-974.47971165536319</v>
      </c>
      <c r="M160" s="13">
        <f t="shared" si="17"/>
        <v>-0.13265177592893451</v>
      </c>
      <c r="N160" s="13">
        <f t="shared" si="18"/>
        <v>-0.27216747694421883</v>
      </c>
      <c r="O160" s="13">
        <f t="shared" si="19"/>
        <v>-0.17728834463684962</v>
      </c>
      <c r="P160" s="13">
        <f t="shared" si="20"/>
        <v>0.35086006656123819</v>
      </c>
      <c r="Q160">
        <v>7</v>
      </c>
      <c r="R160" t="s">
        <v>23</v>
      </c>
      <c r="S160" t="s">
        <v>18</v>
      </c>
      <c r="T160" t="s">
        <v>61</v>
      </c>
      <c r="U160">
        <v>50087</v>
      </c>
      <c r="V160" t="s">
        <v>34</v>
      </c>
      <c r="W160" s="11">
        <v>1199.0410856069709</v>
      </c>
      <c r="X160" s="11">
        <v>-632.47882484927959</v>
      </c>
      <c r="Y160" s="11">
        <v>-974.56346997556784</v>
      </c>
      <c r="Z160" s="13">
        <f t="shared" si="21"/>
        <v>-1.5085606970842491E-2</v>
      </c>
      <c r="AA160" s="13">
        <f t="shared" si="22"/>
        <v>-8.6175150720464444E-2</v>
      </c>
      <c r="AB160" s="13">
        <f t="shared" si="23"/>
        <v>-9.3530024432197933E-2</v>
      </c>
      <c r="AC160" s="13">
        <f t="shared" si="24"/>
        <v>0.12806872221452448</v>
      </c>
      <c r="AD160">
        <v>7</v>
      </c>
      <c r="AE160" t="s">
        <v>23</v>
      </c>
      <c r="AF160" t="s">
        <v>68</v>
      </c>
    </row>
    <row r="161" spans="1:32" x14ac:dyDescent="0.3">
      <c r="A161" s="1" t="s">
        <v>104</v>
      </c>
      <c r="B161" s="1">
        <v>92</v>
      </c>
      <c r="C161" s="1" t="s">
        <v>92</v>
      </c>
      <c r="D161" s="8">
        <v>533.03200000000004</v>
      </c>
      <c r="E161" s="8">
        <v>-95.497</v>
      </c>
      <c r="F161" s="8">
        <v>-862.27800000000002</v>
      </c>
      <c r="G161" t="s">
        <v>61</v>
      </c>
      <c r="H161">
        <v>50092</v>
      </c>
      <c r="I161" t="s">
        <v>35</v>
      </c>
      <c r="J161" s="11">
        <v>533.03242409309337</v>
      </c>
      <c r="K161" s="11">
        <v>-95.538198481795561</v>
      </c>
      <c r="L161" s="11">
        <v>-862.26826444609981</v>
      </c>
      <c r="M161" s="13">
        <f t="shared" si="17"/>
        <v>-4.2409309332924749E-4</v>
      </c>
      <c r="N161" s="13">
        <f t="shared" si="18"/>
        <v>4.1198481795561293E-2</v>
      </c>
      <c r="O161" s="13">
        <f t="shared" si="19"/>
        <v>-9.7355539002137448E-3</v>
      </c>
      <c r="P161" s="13">
        <f t="shared" si="20"/>
        <v>4.2335278042726632E-2</v>
      </c>
      <c r="Q161">
        <v>7</v>
      </c>
      <c r="R161" t="s">
        <v>23</v>
      </c>
      <c r="S161" t="s">
        <v>18</v>
      </c>
      <c r="T161" t="s">
        <v>61</v>
      </c>
      <c r="U161">
        <v>50092</v>
      </c>
      <c r="V161" t="s">
        <v>35</v>
      </c>
      <c r="W161" s="11">
        <v>533.0387385369296</v>
      </c>
      <c r="X161" s="11">
        <v>-95.58499340482561</v>
      </c>
      <c r="Y161" s="11">
        <v>-862.28264030896707</v>
      </c>
      <c r="Z161" s="13">
        <f t="shared" si="21"/>
        <v>-6.7385369295607234E-3</v>
      </c>
      <c r="AA161" s="13">
        <f t="shared" si="22"/>
        <v>8.7993404825610355E-2</v>
      </c>
      <c r="AB161" s="13">
        <f t="shared" si="23"/>
        <v>4.640308967054807E-3</v>
      </c>
      <c r="AC161" s="13">
        <f t="shared" si="24"/>
        <v>8.8372957628816126E-2</v>
      </c>
      <c r="AD161">
        <v>7</v>
      </c>
      <c r="AE161" t="s">
        <v>23</v>
      </c>
      <c r="AF161" t="s">
        <v>68</v>
      </c>
    </row>
    <row r="162" spans="1:32" x14ac:dyDescent="0.3">
      <c r="A162" s="1" t="s">
        <v>104</v>
      </c>
      <c r="B162" s="1">
        <v>96</v>
      </c>
      <c r="C162" s="1" t="s">
        <v>84</v>
      </c>
      <c r="D162" s="8">
        <v>424.48500000000001</v>
      </c>
      <c r="E162" s="8">
        <v>3.6819999999999999</v>
      </c>
      <c r="F162" s="8">
        <v>303.85500000000002</v>
      </c>
      <c r="G162" t="s">
        <v>61</v>
      </c>
      <c r="H162">
        <v>50096</v>
      </c>
      <c r="I162" t="s">
        <v>36</v>
      </c>
      <c r="J162" s="11">
        <v>424.4622128440422</v>
      </c>
      <c r="K162" s="11">
        <v>3.7889900223016748</v>
      </c>
      <c r="L162" s="11">
        <v>303.8332943627322</v>
      </c>
      <c r="M162" s="13">
        <f t="shared" si="17"/>
        <v>2.2787155957814775E-2</v>
      </c>
      <c r="N162" s="13">
        <f t="shared" si="18"/>
        <v>-0.10699002230167487</v>
      </c>
      <c r="O162" s="13">
        <f t="shared" si="19"/>
        <v>2.1705637267814382E-2</v>
      </c>
      <c r="P162" s="13">
        <f t="shared" si="20"/>
        <v>0.11152243737455074</v>
      </c>
      <c r="Q162">
        <v>7</v>
      </c>
      <c r="R162" t="s">
        <v>23</v>
      </c>
      <c r="S162" t="s">
        <v>18</v>
      </c>
      <c r="T162" t="s">
        <v>61</v>
      </c>
      <c r="U162">
        <v>50096</v>
      </c>
      <c r="V162" t="s">
        <v>36</v>
      </c>
      <c r="W162" s="11">
        <v>424.50743670124581</v>
      </c>
      <c r="X162" s="11">
        <v>3.6364250433246998</v>
      </c>
      <c r="Y162" s="11">
        <v>303.83154502888777</v>
      </c>
      <c r="Z162" s="13">
        <f t="shared" si="21"/>
        <v>-2.2436701245794666E-2</v>
      </c>
      <c r="AA162" s="13">
        <f t="shared" si="22"/>
        <v>4.5574956675300093E-2</v>
      </c>
      <c r="AB162" s="13">
        <f t="shared" si="23"/>
        <v>2.3454971112244039E-2</v>
      </c>
      <c r="AC162" s="13">
        <f t="shared" si="24"/>
        <v>5.5951924976936469E-2</v>
      </c>
      <c r="AD162">
        <v>7</v>
      </c>
      <c r="AE162" t="s">
        <v>23</v>
      </c>
      <c r="AF162" t="s">
        <v>68</v>
      </c>
    </row>
    <row r="163" spans="1:32" x14ac:dyDescent="0.3">
      <c r="A163" s="1" t="s">
        <v>98</v>
      </c>
      <c r="B163" s="1">
        <v>1007</v>
      </c>
      <c r="C163" s="1" t="s">
        <v>75</v>
      </c>
      <c r="D163" s="8">
        <v>575.66780000000006</v>
      </c>
      <c r="E163" s="8">
        <v>-50.585099999999997</v>
      </c>
      <c r="F163" s="8">
        <v>349.7285</v>
      </c>
      <c r="G163" t="s">
        <v>62</v>
      </c>
      <c r="H163">
        <v>51008</v>
      </c>
      <c r="I163" t="s">
        <v>16</v>
      </c>
      <c r="J163" s="11">
        <v>575.67480892869412</v>
      </c>
      <c r="K163" s="11">
        <v>-50.520936105968651</v>
      </c>
      <c r="L163" s="11">
        <v>349.73472942423848</v>
      </c>
      <c r="M163" s="13">
        <f t="shared" si="17"/>
        <v>-7.0089286940628881E-3</v>
      </c>
      <c r="N163" s="13">
        <f t="shared" si="18"/>
        <v>-6.4163894031345592E-2</v>
      </c>
      <c r="O163" s="13">
        <f t="shared" si="19"/>
        <v>-6.2294242384837162E-3</v>
      </c>
      <c r="P163" s="13">
        <f t="shared" si="20"/>
        <v>6.484547867852633E-2</v>
      </c>
      <c r="Q163">
        <v>8</v>
      </c>
      <c r="R163" t="s">
        <v>17</v>
      </c>
      <c r="S163" t="s">
        <v>18</v>
      </c>
      <c r="T163" t="s">
        <v>62</v>
      </c>
      <c r="U163">
        <v>1007</v>
      </c>
      <c r="V163" s="6" t="s">
        <v>42</v>
      </c>
      <c r="W163" s="11">
        <v>575.66780000000006</v>
      </c>
      <c r="X163" s="11">
        <v>-50.585099999999997</v>
      </c>
      <c r="Y163" s="11">
        <v>349.7285</v>
      </c>
      <c r="Z163" s="13"/>
      <c r="AA163" s="13"/>
      <c r="AB163" s="13"/>
      <c r="AC163" s="13"/>
      <c r="AD163">
        <v>8</v>
      </c>
      <c r="AE163" t="s">
        <v>17</v>
      </c>
    </row>
    <row r="164" spans="1:32" x14ac:dyDescent="0.3">
      <c r="A164" s="1" t="s">
        <v>98</v>
      </c>
      <c r="B164" s="1">
        <v>1013</v>
      </c>
      <c r="C164" s="1" t="s">
        <v>76</v>
      </c>
      <c r="D164" s="8">
        <v>1295.7804000000001</v>
      </c>
      <c r="E164" s="8">
        <v>-58.134099999999997</v>
      </c>
      <c r="F164" s="8">
        <v>-487.79430000000002</v>
      </c>
      <c r="G164" t="s">
        <v>62</v>
      </c>
      <c r="H164">
        <v>51011</v>
      </c>
      <c r="I164" t="s">
        <v>19</v>
      </c>
      <c r="J164" s="11">
        <v>1295.7856401875681</v>
      </c>
      <c r="K164" s="11">
        <v>-58.321966337772082</v>
      </c>
      <c r="L164" s="11">
        <v>-487.77797811705358</v>
      </c>
      <c r="M164" s="13">
        <f t="shared" si="17"/>
        <v>-5.2401875680061494E-3</v>
      </c>
      <c r="N164" s="13">
        <f t="shared" si="18"/>
        <v>0.1878663377720855</v>
      </c>
      <c r="O164" s="13">
        <f t="shared" si="19"/>
        <v>-1.6321882946442656E-2</v>
      </c>
      <c r="P164" s="13">
        <f t="shared" si="20"/>
        <v>0.18864682424191662</v>
      </c>
      <c r="Q164">
        <v>8</v>
      </c>
      <c r="R164" t="s">
        <v>17</v>
      </c>
      <c r="S164" t="s">
        <v>18</v>
      </c>
      <c r="T164" t="s">
        <v>62</v>
      </c>
      <c r="U164">
        <v>1013</v>
      </c>
      <c r="V164" s="6" t="s">
        <v>43</v>
      </c>
      <c r="W164" s="11">
        <v>1295.7804000000001</v>
      </c>
      <c r="X164" s="11">
        <v>-58.134099999999997</v>
      </c>
      <c r="Y164" s="11">
        <v>-487.79430000000002</v>
      </c>
      <c r="Z164" s="13"/>
      <c r="AA164" s="13"/>
      <c r="AB164" s="13"/>
      <c r="AC164" s="13"/>
      <c r="AD164">
        <v>8</v>
      </c>
      <c r="AE164" t="s">
        <v>17</v>
      </c>
    </row>
    <row r="165" spans="1:32" x14ac:dyDescent="0.3">
      <c r="A165" s="1" t="s">
        <v>98</v>
      </c>
      <c r="B165" s="1">
        <v>1019</v>
      </c>
      <c r="C165" s="1" t="s">
        <v>77</v>
      </c>
      <c r="D165" s="8">
        <v>602.94550000000004</v>
      </c>
      <c r="E165" s="8">
        <v>-59.117600000000003</v>
      </c>
      <c r="F165" s="8">
        <v>-1112.6487999999999</v>
      </c>
      <c r="G165" t="s">
        <v>62</v>
      </c>
      <c r="H165">
        <v>51024</v>
      </c>
      <c r="I165" t="s">
        <v>20</v>
      </c>
      <c r="J165" s="11">
        <v>602.96895842983031</v>
      </c>
      <c r="K165" s="11">
        <v>-59.635683497675672</v>
      </c>
      <c r="L165" s="11">
        <v>-1112.6114748662919</v>
      </c>
      <c r="M165" s="13">
        <f t="shared" si="17"/>
        <v>-2.3458429830270688E-2</v>
      </c>
      <c r="N165" s="13">
        <f t="shared" si="18"/>
        <v>0.51808349767566853</v>
      </c>
      <c r="O165" s="13">
        <f t="shared" si="19"/>
        <v>-3.7325133708009162E-2</v>
      </c>
      <c r="P165" s="13">
        <f t="shared" si="20"/>
        <v>0.51995574244379394</v>
      </c>
      <c r="Q165">
        <v>8</v>
      </c>
      <c r="R165" t="s">
        <v>17</v>
      </c>
      <c r="S165" t="s">
        <v>18</v>
      </c>
      <c r="T165" t="s">
        <v>62</v>
      </c>
      <c r="U165">
        <v>1019</v>
      </c>
      <c r="V165" s="6" t="s">
        <v>44</v>
      </c>
      <c r="W165" s="11">
        <v>602.94550000000004</v>
      </c>
      <c r="X165" s="11">
        <v>-59.117600000000003</v>
      </c>
      <c r="Y165" s="11">
        <v>-1112.6487999999999</v>
      </c>
      <c r="Z165" s="13"/>
      <c r="AA165" s="13"/>
      <c r="AB165" s="13"/>
      <c r="AC165" s="13"/>
      <c r="AD165">
        <v>8</v>
      </c>
      <c r="AE165" t="s">
        <v>17</v>
      </c>
    </row>
    <row r="166" spans="1:32" x14ac:dyDescent="0.3">
      <c r="A166" s="1" t="s">
        <v>98</v>
      </c>
      <c r="B166" s="1">
        <v>1003</v>
      </c>
      <c r="C166" s="1" t="s">
        <v>78</v>
      </c>
      <c r="D166" s="8">
        <v>-116.29519999999999</v>
      </c>
      <c r="E166" s="8">
        <v>-51.572299999999998</v>
      </c>
      <c r="F166" s="8">
        <v>-279.93279999999999</v>
      </c>
      <c r="G166" t="s">
        <v>62</v>
      </c>
      <c r="H166">
        <v>51003</v>
      </c>
      <c r="I166" t="s">
        <v>21</v>
      </c>
      <c r="J166" s="11">
        <v>-116.34124182881359</v>
      </c>
      <c r="K166" s="11">
        <v>-51.584139041785143</v>
      </c>
      <c r="L166" s="11">
        <v>-279.93202080117987</v>
      </c>
      <c r="M166" s="13">
        <f t="shared" si="17"/>
        <v>4.604182881359975E-2</v>
      </c>
      <c r="N166" s="13">
        <f t="shared" si="18"/>
        <v>1.1839041785144389E-2</v>
      </c>
      <c r="O166" s="13">
        <f t="shared" si="19"/>
        <v>-7.791988201120148E-4</v>
      </c>
      <c r="P166" s="13">
        <f t="shared" si="20"/>
        <v>4.7545978396626595E-2</v>
      </c>
      <c r="Q166">
        <v>8</v>
      </c>
      <c r="R166" t="s">
        <v>17</v>
      </c>
      <c r="S166" t="s">
        <v>18</v>
      </c>
      <c r="T166" t="s">
        <v>62</v>
      </c>
      <c r="U166">
        <v>1003</v>
      </c>
      <c r="V166" s="6" t="s">
        <v>45</v>
      </c>
      <c r="W166" s="11">
        <v>-116.29519999999999</v>
      </c>
      <c r="X166" s="11">
        <v>-51.572299999999998</v>
      </c>
      <c r="Y166" s="11">
        <v>-279.93279999999999</v>
      </c>
      <c r="Z166" s="13"/>
      <c r="AA166" s="13"/>
      <c r="AB166" s="13"/>
      <c r="AC166" s="13"/>
      <c r="AD166">
        <v>8</v>
      </c>
      <c r="AE166" t="s">
        <v>17</v>
      </c>
    </row>
    <row r="167" spans="1:32" x14ac:dyDescent="0.3">
      <c r="A167" s="1" t="s">
        <v>98</v>
      </c>
      <c r="B167" s="1">
        <v>501</v>
      </c>
      <c r="C167" s="1" t="s">
        <v>94</v>
      </c>
      <c r="D167" s="8">
        <v>-8.4900000000000003E-2</v>
      </c>
      <c r="E167" s="8">
        <v>2.2864</v>
      </c>
      <c r="F167" s="8">
        <v>2.2444000000000002</v>
      </c>
      <c r="G167" t="s">
        <v>62</v>
      </c>
      <c r="H167">
        <v>501</v>
      </c>
      <c r="I167" s="5" t="s">
        <v>10</v>
      </c>
      <c r="J167" s="11">
        <v>-8.4900000000000003E-2</v>
      </c>
      <c r="K167" s="11">
        <v>2.2864</v>
      </c>
      <c r="L167" s="11">
        <v>2.2444000000000002</v>
      </c>
      <c r="M167" s="13"/>
      <c r="N167" s="13"/>
      <c r="O167" s="13"/>
      <c r="P167" s="13"/>
      <c r="Q167">
        <v>8</v>
      </c>
      <c r="R167" t="s">
        <v>11</v>
      </c>
      <c r="T167" t="s">
        <v>62</v>
      </c>
      <c r="U167">
        <v>50501</v>
      </c>
      <c r="V167" t="s">
        <v>67</v>
      </c>
      <c r="W167" s="11">
        <v>-7.9674884402615637E-2</v>
      </c>
      <c r="X167" s="11">
        <v>2.2180601589804492</v>
      </c>
      <c r="Y167" s="11">
        <v>2.2561022644124069</v>
      </c>
      <c r="Z167" s="13">
        <f t="shared" si="21"/>
        <v>-5.2251155973843666E-3</v>
      </c>
      <c r="AA167" s="13">
        <f t="shared" si="22"/>
        <v>6.8339841019550818E-2</v>
      </c>
      <c r="AB167" s="13">
        <f t="shared" si="23"/>
        <v>-1.1702264412406738E-2</v>
      </c>
      <c r="AC167" s="13">
        <f t="shared" si="24"/>
        <v>6.9531134723671742E-2</v>
      </c>
      <c r="AD167">
        <v>8</v>
      </c>
      <c r="AE167" t="s">
        <v>11</v>
      </c>
      <c r="AF167" t="s">
        <v>68</v>
      </c>
    </row>
    <row r="168" spans="1:32" x14ac:dyDescent="0.3">
      <c r="A168" s="1" t="s">
        <v>98</v>
      </c>
      <c r="B168" s="1">
        <v>502</v>
      </c>
      <c r="C168" s="1" t="s">
        <v>85</v>
      </c>
      <c r="D168" s="8">
        <v>171.85290000000001</v>
      </c>
      <c r="E168" s="8">
        <v>-0.61199999999999999</v>
      </c>
      <c r="F168" s="8">
        <v>-173.2148</v>
      </c>
      <c r="G168" t="s">
        <v>62</v>
      </c>
      <c r="H168">
        <v>502</v>
      </c>
      <c r="I168" s="5" t="s">
        <v>12</v>
      </c>
      <c r="J168" s="11">
        <v>171.85290000000001</v>
      </c>
      <c r="K168" s="11">
        <v>-0.61199999999999999</v>
      </c>
      <c r="L168" s="11">
        <v>-173.2148</v>
      </c>
      <c r="M168" s="13"/>
      <c r="N168" s="13"/>
      <c r="O168" s="13"/>
      <c r="P168" s="13"/>
      <c r="Q168">
        <v>8</v>
      </c>
      <c r="R168" t="s">
        <v>11</v>
      </c>
      <c r="T168" t="s">
        <v>62</v>
      </c>
      <c r="U168">
        <v>50502</v>
      </c>
      <c r="V168" t="s">
        <v>69</v>
      </c>
      <c r="W168" s="11">
        <v>171.8512206091788</v>
      </c>
      <c r="X168" s="11">
        <v>-0.53832810212625226</v>
      </c>
      <c r="Y168" s="11">
        <v>-173.19964370746851</v>
      </c>
      <c r="Z168" s="13">
        <f t="shared" si="21"/>
        <v>1.6793908212093811E-3</v>
      </c>
      <c r="AA168" s="13">
        <f t="shared" si="22"/>
        <v>-7.3671897873747727E-2</v>
      </c>
      <c r="AB168" s="13">
        <f t="shared" si="23"/>
        <v>-1.5156292531486315E-2</v>
      </c>
      <c r="AC168" s="13">
        <f t="shared" si="24"/>
        <v>7.5233517086138318E-2</v>
      </c>
      <c r="AD168">
        <v>8</v>
      </c>
      <c r="AE168" t="s">
        <v>11</v>
      </c>
      <c r="AF168" t="s">
        <v>68</v>
      </c>
    </row>
    <row r="169" spans="1:32" x14ac:dyDescent="0.3">
      <c r="A169" s="1" t="s">
        <v>98</v>
      </c>
      <c r="B169" s="1">
        <v>503</v>
      </c>
      <c r="C169" s="1" t="s">
        <v>95</v>
      </c>
      <c r="D169" s="8">
        <v>170.61799999999999</v>
      </c>
      <c r="E169" s="8">
        <v>0.63029999999999997</v>
      </c>
      <c r="F169" s="8">
        <v>1.0838000000000001</v>
      </c>
      <c r="G169" t="s">
        <v>62</v>
      </c>
      <c r="H169">
        <v>503</v>
      </c>
      <c r="I169" s="5" t="s">
        <v>13</v>
      </c>
      <c r="J169" s="11">
        <v>170.61799999999999</v>
      </c>
      <c r="K169" s="11">
        <v>0.63029999999999997</v>
      </c>
      <c r="L169" s="11">
        <v>1.0838000000000001</v>
      </c>
      <c r="M169" s="13"/>
      <c r="N169" s="13"/>
      <c r="O169" s="13"/>
      <c r="P169" s="13"/>
      <c r="Q169">
        <v>8</v>
      </c>
      <c r="R169" t="s">
        <v>11</v>
      </c>
      <c r="T169" t="s">
        <v>62</v>
      </c>
      <c r="U169">
        <v>50503</v>
      </c>
      <c r="V169" t="s">
        <v>70</v>
      </c>
      <c r="W169" s="11">
        <v>170.62090891890179</v>
      </c>
      <c r="X169" s="11">
        <v>0.65084812050367358</v>
      </c>
      <c r="Y169" s="11">
        <v>1.10144200376935</v>
      </c>
      <c r="Z169" s="13">
        <f t="shared" si="21"/>
        <v>-2.9089189017952322E-3</v>
      </c>
      <c r="AA169" s="13">
        <f t="shared" si="22"/>
        <v>-2.0548120503673606E-2</v>
      </c>
      <c r="AB169" s="13">
        <f t="shared" si="23"/>
        <v>-1.7642003769349879E-2</v>
      </c>
      <c r="AC169" s="13">
        <f t="shared" si="24"/>
        <v>2.7238343606182599E-2</v>
      </c>
      <c r="AD169">
        <v>8</v>
      </c>
      <c r="AE169" t="s">
        <v>11</v>
      </c>
      <c r="AF169" t="s">
        <v>68</v>
      </c>
    </row>
    <row r="170" spans="1:32" x14ac:dyDescent="0.3">
      <c r="A170" s="1" t="s">
        <v>98</v>
      </c>
      <c r="B170" s="1">
        <v>504</v>
      </c>
      <c r="C170" s="1" t="s">
        <v>87</v>
      </c>
      <c r="D170" s="8">
        <v>346.37349999999998</v>
      </c>
      <c r="E170" s="8">
        <v>0.2001</v>
      </c>
      <c r="F170" s="8">
        <v>1.8844000000000001</v>
      </c>
      <c r="G170" t="s">
        <v>62</v>
      </c>
      <c r="H170">
        <v>504</v>
      </c>
      <c r="I170" s="5" t="s">
        <v>14</v>
      </c>
      <c r="J170" s="11">
        <v>346.37349999999998</v>
      </c>
      <c r="K170" s="11">
        <v>0.2001</v>
      </c>
      <c r="L170" s="11">
        <v>1.8844000000000001</v>
      </c>
      <c r="M170" s="13"/>
      <c r="N170" s="13"/>
      <c r="O170" s="13"/>
      <c r="P170" s="13"/>
      <c r="Q170">
        <v>8</v>
      </c>
      <c r="R170" t="s">
        <v>11</v>
      </c>
      <c r="T170" t="s">
        <v>62</v>
      </c>
      <c r="U170">
        <v>50504</v>
      </c>
      <c r="V170" t="s">
        <v>71</v>
      </c>
      <c r="W170" s="11">
        <v>346.3765593006849</v>
      </c>
      <c r="X170" s="11">
        <v>0.1559587966084961</v>
      </c>
      <c r="Y170" s="11">
        <v>1.898104067331045</v>
      </c>
      <c r="Z170" s="13">
        <f t="shared" si="21"/>
        <v>-3.0593006849244375E-3</v>
      </c>
      <c r="AA170" s="13">
        <f t="shared" si="22"/>
        <v>4.4141203391503903E-2</v>
      </c>
      <c r="AB170" s="13">
        <f t="shared" si="23"/>
        <v>-1.37040673310449E-2</v>
      </c>
      <c r="AC170" s="13">
        <f t="shared" si="24"/>
        <v>4.6320693204492384E-2</v>
      </c>
      <c r="AD170">
        <v>8</v>
      </c>
      <c r="AE170" t="s">
        <v>11</v>
      </c>
      <c r="AF170" t="s">
        <v>68</v>
      </c>
    </row>
    <row r="171" spans="1:32" x14ac:dyDescent="0.3">
      <c r="A171" s="1" t="s">
        <v>98</v>
      </c>
      <c r="B171" s="1">
        <v>505</v>
      </c>
      <c r="C171" s="1" t="s">
        <v>96</v>
      </c>
      <c r="D171" s="8">
        <v>169.99019999999999</v>
      </c>
      <c r="E171" s="8">
        <v>3.1078999999999999</v>
      </c>
      <c r="F171" s="8">
        <v>177.20070000000001</v>
      </c>
      <c r="G171" t="s">
        <v>62</v>
      </c>
      <c r="H171">
        <v>505</v>
      </c>
      <c r="I171" s="5" t="s">
        <v>15</v>
      </c>
      <c r="J171" s="11">
        <v>169.99019999999999</v>
      </c>
      <c r="K171" s="11">
        <v>3.1078999999999999</v>
      </c>
      <c r="L171" s="11">
        <v>177.20070000000001</v>
      </c>
      <c r="M171" s="13"/>
      <c r="N171" s="13"/>
      <c r="O171" s="13"/>
      <c r="P171" s="13"/>
      <c r="Q171">
        <v>8</v>
      </c>
      <c r="R171" t="s">
        <v>11</v>
      </c>
      <c r="T171" t="s">
        <v>62</v>
      </c>
      <c r="U171">
        <v>50505</v>
      </c>
      <c r="V171" t="s">
        <v>72</v>
      </c>
      <c r="W171" s="11">
        <v>170.0001586627786</v>
      </c>
      <c r="X171" s="11">
        <v>3.0424571478886011</v>
      </c>
      <c r="Y171" s="11">
        <v>177.2050968670903</v>
      </c>
      <c r="Z171" s="13">
        <f t="shared" si="21"/>
        <v>-9.9586627786152349E-3</v>
      </c>
      <c r="AA171" s="13">
        <f t="shared" si="22"/>
        <v>6.5442852111398775E-2</v>
      </c>
      <c r="AB171" s="13">
        <f t="shared" si="23"/>
        <v>-4.3968670902927443E-3</v>
      </c>
      <c r="AC171" s="13">
        <f t="shared" si="24"/>
        <v>6.6342100486962929E-2</v>
      </c>
      <c r="AD171">
        <v>8</v>
      </c>
      <c r="AE171" t="s">
        <v>11</v>
      </c>
      <c r="AF171" t="s">
        <v>68</v>
      </c>
    </row>
    <row r="172" spans="1:32" x14ac:dyDescent="0.3">
      <c r="A172" s="1" t="s">
        <v>98</v>
      </c>
      <c r="B172" s="1">
        <v>116</v>
      </c>
      <c r="C172" s="1" t="s">
        <v>81</v>
      </c>
      <c r="D172" s="8">
        <v>1006.6265</v>
      </c>
      <c r="E172" s="8">
        <v>-641.83119999999997</v>
      </c>
      <c r="F172" s="8">
        <v>-1127.4301</v>
      </c>
      <c r="G172" t="s">
        <v>62</v>
      </c>
      <c r="H172">
        <v>50116</v>
      </c>
      <c r="I172" t="s">
        <v>22</v>
      </c>
      <c r="J172" s="11">
        <v>1006.533185134272</v>
      </c>
      <c r="K172" s="11">
        <v>-642.34939985798553</v>
      </c>
      <c r="L172" s="11">
        <v>-1127.078556177079</v>
      </c>
      <c r="M172" s="13">
        <f t="shared" si="17"/>
        <v>9.331486572796166E-2</v>
      </c>
      <c r="N172" s="13">
        <f t="shared" si="18"/>
        <v>0.51819985798556445</v>
      </c>
      <c r="O172" s="13">
        <f t="shared" si="19"/>
        <v>-0.35154382292103037</v>
      </c>
      <c r="P172" s="13">
        <f t="shared" si="20"/>
        <v>0.63310490158900168</v>
      </c>
      <c r="Q172">
        <v>8</v>
      </c>
      <c r="R172" t="s">
        <v>23</v>
      </c>
      <c r="S172" t="s">
        <v>18</v>
      </c>
      <c r="T172" t="s">
        <v>62</v>
      </c>
      <c r="U172">
        <v>50116</v>
      </c>
      <c r="V172" t="s">
        <v>22</v>
      </c>
      <c r="W172" s="11">
        <v>1006.5648435715621</v>
      </c>
      <c r="X172" s="11">
        <v>-641.86304247911778</v>
      </c>
      <c r="Y172" s="11">
        <v>-1127.332122772809</v>
      </c>
      <c r="Z172" s="13">
        <f t="shared" si="21"/>
        <v>6.1656428437913746E-2</v>
      </c>
      <c r="AA172" s="13">
        <f t="shared" si="22"/>
        <v>3.1842479117813127E-2</v>
      </c>
      <c r="AB172" s="13">
        <f t="shared" si="23"/>
        <v>-9.7977227190995109E-2</v>
      </c>
      <c r="AC172" s="13">
        <f t="shared" si="24"/>
        <v>0.12006246579228587</v>
      </c>
      <c r="AD172">
        <v>8</v>
      </c>
      <c r="AE172" t="s">
        <v>23</v>
      </c>
      <c r="AF172" t="s">
        <v>68</v>
      </c>
    </row>
    <row r="173" spans="1:32" x14ac:dyDescent="0.3">
      <c r="A173" s="1" t="s">
        <v>98</v>
      </c>
      <c r="B173" s="1">
        <v>121</v>
      </c>
      <c r="C173" s="1" t="s">
        <v>93</v>
      </c>
      <c r="D173" s="8">
        <v>634.75580000000002</v>
      </c>
      <c r="E173" s="8">
        <v>-100.3793</v>
      </c>
      <c r="F173" s="8">
        <v>98.886799999999994</v>
      </c>
      <c r="G173" t="s">
        <v>62</v>
      </c>
      <c r="H173">
        <v>50121</v>
      </c>
      <c r="I173" t="s">
        <v>24</v>
      </c>
      <c r="J173" s="11">
        <v>634.74392951380264</v>
      </c>
      <c r="K173" s="11">
        <v>-100.3697351006911</v>
      </c>
      <c r="L173" s="11">
        <v>98.909755782805348</v>
      </c>
      <c r="M173" s="13">
        <f t="shared" si="17"/>
        <v>1.1870486197381069E-2</v>
      </c>
      <c r="N173" s="13">
        <f t="shared" si="18"/>
        <v>-9.564899308898589E-3</v>
      </c>
      <c r="O173" s="13">
        <f t="shared" si="19"/>
        <v>-2.2955782805354374E-2</v>
      </c>
      <c r="P173" s="13">
        <f t="shared" si="20"/>
        <v>2.7556554675034883E-2</v>
      </c>
      <c r="Q173">
        <v>8</v>
      </c>
      <c r="R173" t="s">
        <v>23</v>
      </c>
      <c r="S173" t="s">
        <v>18</v>
      </c>
      <c r="T173" t="s">
        <v>62</v>
      </c>
      <c r="U173">
        <v>50121</v>
      </c>
      <c r="V173" t="s">
        <v>24</v>
      </c>
      <c r="W173" s="11">
        <v>634.75579292994416</v>
      </c>
      <c r="X173" s="11">
        <v>-100.39439981326019</v>
      </c>
      <c r="Y173" s="11">
        <v>98.875970308488732</v>
      </c>
      <c r="Z173" s="13">
        <f t="shared" si="21"/>
        <v>7.0700558580938377E-6</v>
      </c>
      <c r="AA173" s="13">
        <f t="shared" si="22"/>
        <v>1.5099813260192718E-2</v>
      </c>
      <c r="AB173" s="13">
        <f t="shared" si="23"/>
        <v>1.0829691511261785E-2</v>
      </c>
      <c r="AC173" s="13">
        <f t="shared" si="24"/>
        <v>1.8581889804524115E-2</v>
      </c>
      <c r="AD173">
        <v>8</v>
      </c>
      <c r="AE173" t="s">
        <v>23</v>
      </c>
      <c r="AF173" t="s">
        <v>68</v>
      </c>
    </row>
    <row r="174" spans="1:32" x14ac:dyDescent="0.3">
      <c r="A174" s="1" t="s">
        <v>98</v>
      </c>
      <c r="B174" s="1">
        <v>13</v>
      </c>
      <c r="C174" s="1" t="s">
        <v>80</v>
      </c>
      <c r="D174" s="8">
        <v>279.9846</v>
      </c>
      <c r="E174" s="8">
        <v>6.0008999999999997</v>
      </c>
      <c r="F174" s="8">
        <v>202.75829999999999</v>
      </c>
      <c r="G174" t="s">
        <v>62</v>
      </c>
      <c r="H174">
        <v>50013</v>
      </c>
      <c r="I174" t="s">
        <v>25</v>
      </c>
      <c r="J174" s="11">
        <v>279.98954387267082</v>
      </c>
      <c r="K174" s="11">
        <v>5.9787624439070077</v>
      </c>
      <c r="L174" s="11">
        <v>202.7497800598143</v>
      </c>
      <c r="M174" s="13">
        <f t="shared" si="17"/>
        <v>-4.9438726708217473E-3</v>
      </c>
      <c r="N174" s="13">
        <f t="shared" si="18"/>
        <v>2.213755609299195E-2</v>
      </c>
      <c r="O174" s="13">
        <f t="shared" si="19"/>
        <v>8.5199401856925761E-3</v>
      </c>
      <c r="P174" s="13">
        <f t="shared" si="20"/>
        <v>2.4230201144923299E-2</v>
      </c>
      <c r="Q174">
        <v>8</v>
      </c>
      <c r="R174" t="s">
        <v>23</v>
      </c>
      <c r="S174" t="s">
        <v>18</v>
      </c>
      <c r="T174" t="s">
        <v>62</v>
      </c>
      <c r="U174">
        <v>50013</v>
      </c>
      <c r="V174" t="s">
        <v>25</v>
      </c>
      <c r="W174" s="11">
        <v>279.99573937153019</v>
      </c>
      <c r="X174" s="11">
        <v>5.8894578415947922</v>
      </c>
      <c r="Y174" s="11">
        <v>202.7628015465902</v>
      </c>
      <c r="Z174" s="13">
        <f t="shared" si="21"/>
        <v>-1.1139371530191511E-2</v>
      </c>
      <c r="AA174" s="13">
        <f t="shared" si="22"/>
        <v>0.11144215840520744</v>
      </c>
      <c r="AB174" s="13">
        <f t="shared" si="23"/>
        <v>-4.5015465902054075E-3</v>
      </c>
      <c r="AC174" s="13">
        <f t="shared" si="24"/>
        <v>0.11208793061611397</v>
      </c>
      <c r="AD174">
        <v>8</v>
      </c>
      <c r="AE174" t="s">
        <v>23</v>
      </c>
      <c r="AF174" t="s">
        <v>68</v>
      </c>
    </row>
    <row r="175" spans="1:32" x14ac:dyDescent="0.3">
      <c r="A175" s="1" t="s">
        <v>98</v>
      </c>
      <c r="B175" s="1">
        <v>34</v>
      </c>
      <c r="C175" s="1" t="s">
        <v>74</v>
      </c>
      <c r="D175" s="8">
        <v>756.23329999999999</v>
      </c>
      <c r="E175" s="8">
        <v>-104.93980000000001</v>
      </c>
      <c r="F175" s="8">
        <v>-663.12879999999996</v>
      </c>
      <c r="G175" t="s">
        <v>62</v>
      </c>
      <c r="H175">
        <v>50034</v>
      </c>
      <c r="I175" t="s">
        <v>26</v>
      </c>
      <c r="J175" s="11">
        <v>756.23569296444396</v>
      </c>
      <c r="K175" s="11">
        <v>-105.12634247924839</v>
      </c>
      <c r="L175" s="11">
        <v>-663.1055323573994</v>
      </c>
      <c r="M175" s="13">
        <f t="shared" si="17"/>
        <v>-2.3929644439704134E-3</v>
      </c>
      <c r="N175" s="13">
        <f t="shared" si="18"/>
        <v>0.18654247924838785</v>
      </c>
      <c r="O175" s="13">
        <f t="shared" si="19"/>
        <v>-2.3267642600558247E-2</v>
      </c>
      <c r="P175" s="13">
        <f t="shared" si="20"/>
        <v>0.18800320751293748</v>
      </c>
      <c r="Q175">
        <v>8</v>
      </c>
      <c r="R175" t="s">
        <v>23</v>
      </c>
      <c r="S175" t="s">
        <v>18</v>
      </c>
      <c r="T175" t="s">
        <v>62</v>
      </c>
      <c r="U175">
        <v>50034</v>
      </c>
      <c r="V175" t="s">
        <v>26</v>
      </c>
      <c r="W175" s="11">
        <v>756.23792565864028</v>
      </c>
      <c r="X175" s="11">
        <v>-104.84064616485171</v>
      </c>
      <c r="Y175" s="11">
        <v>-663.14272734962537</v>
      </c>
      <c r="Z175" s="13">
        <f t="shared" si="21"/>
        <v>-4.6256586402932953E-3</v>
      </c>
      <c r="AA175" s="13">
        <f t="shared" si="22"/>
        <v>-9.9153835148300118E-2</v>
      </c>
      <c r="AB175" s="13">
        <f t="shared" si="23"/>
        <v>1.3927349625419083E-2</v>
      </c>
      <c r="AC175" s="13">
        <f t="shared" si="24"/>
        <v>0.10023398031636506</v>
      </c>
      <c r="AD175">
        <v>8</v>
      </c>
      <c r="AE175" t="s">
        <v>23</v>
      </c>
      <c r="AF175" t="s">
        <v>68</v>
      </c>
    </row>
    <row r="176" spans="1:32" x14ac:dyDescent="0.3">
      <c r="A176" s="5"/>
      <c r="B176" s="5"/>
      <c r="C176" s="5"/>
      <c r="D176" s="9"/>
      <c r="E176" s="9"/>
      <c r="F176" s="9"/>
      <c r="G176" t="s">
        <v>62</v>
      </c>
      <c r="H176">
        <v>50037</v>
      </c>
      <c r="I176" t="s">
        <v>27</v>
      </c>
      <c r="J176" s="11">
        <v>32.130523304561123</v>
      </c>
      <c r="K176" s="11">
        <v>-101.356010812721</v>
      </c>
      <c r="L176" s="11">
        <v>-387.31709776463663</v>
      </c>
      <c r="M176" s="13"/>
      <c r="N176" s="13"/>
      <c r="O176" s="13"/>
      <c r="P176" s="13"/>
      <c r="Q176">
        <v>8</v>
      </c>
      <c r="R176" t="s">
        <v>23</v>
      </c>
      <c r="S176" t="s">
        <v>18</v>
      </c>
      <c r="T176" t="s">
        <v>62</v>
      </c>
      <c r="U176">
        <v>50037</v>
      </c>
      <c r="V176" t="s">
        <v>27</v>
      </c>
      <c r="W176" s="11">
        <v>32.136107773111299</v>
      </c>
      <c r="X176" s="11">
        <v>-101.2275640607934</v>
      </c>
      <c r="Y176" s="11">
        <v>-387.34338768988039</v>
      </c>
      <c r="Z176" s="13"/>
      <c r="AA176" s="13"/>
      <c r="AB176" s="13"/>
      <c r="AC176" s="13"/>
      <c r="AD176">
        <v>8</v>
      </c>
      <c r="AE176" t="s">
        <v>23</v>
      </c>
      <c r="AF176" t="s">
        <v>68</v>
      </c>
    </row>
    <row r="177" spans="1:32" x14ac:dyDescent="0.3">
      <c r="A177" s="1" t="s">
        <v>98</v>
      </c>
      <c r="B177" s="1">
        <v>4</v>
      </c>
      <c r="C177" s="1" t="s">
        <v>88</v>
      </c>
      <c r="D177" s="8">
        <v>1041.0697</v>
      </c>
      <c r="E177" s="8">
        <v>-529.51969999999994</v>
      </c>
      <c r="F177" s="8">
        <v>-1098.4879000000001</v>
      </c>
      <c r="G177" t="s">
        <v>62</v>
      </c>
      <c r="H177">
        <v>50004</v>
      </c>
      <c r="I177" t="s">
        <v>29</v>
      </c>
      <c r="J177" s="11">
        <v>1041.0092577055441</v>
      </c>
      <c r="K177" s="11">
        <v>-529.98101980409717</v>
      </c>
      <c r="L177" s="11">
        <v>-1098.2180539552669</v>
      </c>
      <c r="M177" s="13">
        <f t="shared" si="17"/>
        <v>6.0442294455924639E-2</v>
      </c>
      <c r="N177" s="13">
        <f t="shared" si="18"/>
        <v>0.46131980409722928</v>
      </c>
      <c r="O177" s="13">
        <f t="shared" si="19"/>
        <v>-0.26984604473318541</v>
      </c>
      <c r="P177" s="13">
        <f t="shared" si="20"/>
        <v>0.5378532517978738</v>
      </c>
      <c r="Q177">
        <v>8</v>
      </c>
      <c r="R177" t="s">
        <v>23</v>
      </c>
      <c r="S177" t="s">
        <v>18</v>
      </c>
      <c r="T177" t="s">
        <v>62</v>
      </c>
      <c r="U177">
        <v>50004</v>
      </c>
      <c r="V177" t="s">
        <v>29</v>
      </c>
      <c r="W177" s="11">
        <v>1041.0338712429621</v>
      </c>
      <c r="X177" s="11">
        <v>-529.5038449831759</v>
      </c>
      <c r="Y177" s="11">
        <v>-1098.427488649088</v>
      </c>
      <c r="Z177" s="13">
        <f t="shared" si="21"/>
        <v>3.5828757037961623E-2</v>
      </c>
      <c r="AA177" s="13">
        <f t="shared" si="22"/>
        <v>-1.5855016824048107E-2</v>
      </c>
      <c r="AB177" s="13">
        <f t="shared" si="23"/>
        <v>-6.0411350912090711E-2</v>
      </c>
      <c r="AC177" s="13">
        <f t="shared" si="24"/>
        <v>7.2004254793726574E-2</v>
      </c>
      <c r="AD177">
        <v>8</v>
      </c>
      <c r="AE177" t="s">
        <v>23</v>
      </c>
      <c r="AF177" t="s">
        <v>68</v>
      </c>
    </row>
    <row r="178" spans="1:32" x14ac:dyDescent="0.3">
      <c r="A178" s="1" t="s">
        <v>98</v>
      </c>
      <c r="B178" s="1">
        <v>42</v>
      </c>
      <c r="C178" s="1" t="s">
        <v>90</v>
      </c>
      <c r="D178" s="8">
        <v>1082.0291999999999</v>
      </c>
      <c r="E178" s="8">
        <v>-105.4744</v>
      </c>
      <c r="F178" s="8">
        <v>-354.27280000000002</v>
      </c>
      <c r="G178" t="s">
        <v>62</v>
      </c>
      <c r="H178">
        <v>50042</v>
      </c>
      <c r="I178" t="s">
        <v>28</v>
      </c>
      <c r="J178" s="11">
        <v>1082.040132552487</v>
      </c>
      <c r="K178" s="11">
        <v>-105.58865422263609</v>
      </c>
      <c r="L178" s="11">
        <v>-354.24852265861801</v>
      </c>
      <c r="M178" s="13">
        <f t="shared" si="17"/>
        <v>-1.0932552487020075E-2</v>
      </c>
      <c r="N178" s="13">
        <f t="shared" si="18"/>
        <v>0.11425422263609164</v>
      </c>
      <c r="O178" s="13">
        <f t="shared" si="19"/>
        <v>-2.4277341382003215E-2</v>
      </c>
      <c r="P178" s="13">
        <f t="shared" si="20"/>
        <v>0.11731554627856178</v>
      </c>
      <c r="Q178">
        <v>8</v>
      </c>
      <c r="R178" t="s">
        <v>23</v>
      </c>
      <c r="S178" t="s">
        <v>18</v>
      </c>
      <c r="T178" t="s">
        <v>62</v>
      </c>
      <c r="U178">
        <v>50042</v>
      </c>
      <c r="V178" t="s">
        <v>28</v>
      </c>
      <c r="W178" s="11">
        <v>1082.0464257481649</v>
      </c>
      <c r="X178" s="11">
        <v>-105.4039797839613</v>
      </c>
      <c r="Y178" s="11">
        <v>-354.29016875224568</v>
      </c>
      <c r="Z178" s="13">
        <f t="shared" si="21"/>
        <v>-1.7225748164946708E-2</v>
      </c>
      <c r="AA178" s="13">
        <f t="shared" si="22"/>
        <v>-7.0420216038698413E-2</v>
      </c>
      <c r="AB178" s="13">
        <f t="shared" si="23"/>
        <v>1.7368752245658925E-2</v>
      </c>
      <c r="AC178" s="13">
        <f t="shared" si="24"/>
        <v>7.4548016615804111E-2</v>
      </c>
      <c r="AD178">
        <v>8</v>
      </c>
      <c r="AE178" t="s">
        <v>23</v>
      </c>
      <c r="AF178" t="s">
        <v>68</v>
      </c>
    </row>
    <row r="179" spans="1:32" x14ac:dyDescent="0.3">
      <c r="A179" s="1" t="s">
        <v>98</v>
      </c>
      <c r="B179" s="1">
        <v>506</v>
      </c>
      <c r="C179" s="1" t="s">
        <v>82</v>
      </c>
      <c r="D179" s="8">
        <v>1147.6349</v>
      </c>
      <c r="E179" s="8">
        <v>-33.7151</v>
      </c>
      <c r="F179" s="8">
        <v>-459.23360000000002</v>
      </c>
      <c r="G179" t="s">
        <v>62</v>
      </c>
      <c r="H179">
        <v>50506</v>
      </c>
      <c r="I179" t="s">
        <v>30</v>
      </c>
      <c r="J179" s="11">
        <v>1147.654511666949</v>
      </c>
      <c r="K179" s="11">
        <v>-33.856339863902377</v>
      </c>
      <c r="L179" s="11">
        <v>-459.21624216825302</v>
      </c>
      <c r="M179" s="13">
        <f t="shared" si="17"/>
        <v>-1.9611666949003848E-2</v>
      </c>
      <c r="N179" s="13">
        <f t="shared" si="18"/>
        <v>0.14123986390237775</v>
      </c>
      <c r="O179" s="13">
        <f t="shared" si="19"/>
        <v>-1.7357831747006003E-2</v>
      </c>
      <c r="P179" s="13">
        <f t="shared" si="20"/>
        <v>0.14364752332928754</v>
      </c>
      <c r="Q179">
        <v>8</v>
      </c>
      <c r="R179" t="s">
        <v>23</v>
      </c>
      <c r="S179" t="s">
        <v>18</v>
      </c>
      <c r="T179" t="s">
        <v>62</v>
      </c>
      <c r="U179">
        <v>50506</v>
      </c>
      <c r="V179" t="s">
        <v>30</v>
      </c>
      <c r="W179" s="11">
        <v>1147.6546972236069</v>
      </c>
      <c r="X179" s="11">
        <v>-33.625690504620422</v>
      </c>
      <c r="Y179" s="11">
        <v>-459.23027410299301</v>
      </c>
      <c r="Z179" s="13">
        <f t="shared" si="21"/>
        <v>-1.9797223606929037E-2</v>
      </c>
      <c r="AA179" s="13">
        <f t="shared" si="22"/>
        <v>-8.9409495379577208E-2</v>
      </c>
      <c r="AB179" s="13">
        <f t="shared" si="23"/>
        <v>-3.3258970070164651E-3</v>
      </c>
      <c r="AC179" s="13">
        <f t="shared" si="24"/>
        <v>9.1635416283632753E-2</v>
      </c>
      <c r="AD179">
        <v>8</v>
      </c>
      <c r="AE179" t="s">
        <v>23</v>
      </c>
      <c r="AF179" t="s">
        <v>68</v>
      </c>
    </row>
    <row r="180" spans="1:32" x14ac:dyDescent="0.3">
      <c r="A180" s="1" t="s">
        <v>98</v>
      </c>
      <c r="B180" s="1">
        <v>507</v>
      </c>
      <c r="C180" s="1" t="s">
        <v>83</v>
      </c>
      <c r="D180" s="8">
        <v>674.85029999999995</v>
      </c>
      <c r="E180" s="8">
        <v>-42.122199999999999</v>
      </c>
      <c r="F180" s="8">
        <v>-1091.8078</v>
      </c>
      <c r="G180" t="s">
        <v>62</v>
      </c>
      <c r="H180">
        <v>50507</v>
      </c>
      <c r="I180" t="s">
        <v>31</v>
      </c>
      <c r="J180" s="11">
        <v>674.8889900237715</v>
      </c>
      <c r="K180" s="11">
        <v>-42.443682178893837</v>
      </c>
      <c r="L180" s="11">
        <v>-1091.802320422358</v>
      </c>
      <c r="M180" s="13">
        <f t="shared" si="17"/>
        <v>-3.8690023771550841E-2</v>
      </c>
      <c r="N180" s="13">
        <f t="shared" si="18"/>
        <v>0.32148217889383801</v>
      </c>
      <c r="O180" s="13">
        <f t="shared" si="19"/>
        <v>-5.4795776420633047E-3</v>
      </c>
      <c r="P180" s="13">
        <f t="shared" si="20"/>
        <v>0.32384832106544603</v>
      </c>
      <c r="Q180">
        <v>8</v>
      </c>
      <c r="R180" t="s">
        <v>23</v>
      </c>
      <c r="S180" t="s">
        <v>18</v>
      </c>
      <c r="T180" t="s">
        <v>62</v>
      </c>
      <c r="U180">
        <v>50507</v>
      </c>
      <c r="V180" t="s">
        <v>31</v>
      </c>
      <c r="W180" s="11">
        <v>674.8814883115856</v>
      </c>
      <c r="X180" s="11">
        <v>-41.993274901284991</v>
      </c>
      <c r="Y180" s="11">
        <v>-1091.813552233142</v>
      </c>
      <c r="Z180" s="13">
        <f t="shared" si="21"/>
        <v>-3.1188311585651718E-2</v>
      </c>
      <c r="AA180" s="13">
        <f t="shared" si="22"/>
        <v>-0.12892509871500835</v>
      </c>
      <c r="AB180" s="13">
        <f t="shared" si="23"/>
        <v>5.7522331419477268E-3</v>
      </c>
      <c r="AC180" s="13">
        <f t="shared" si="24"/>
        <v>0.13276852053238247</v>
      </c>
      <c r="AD180">
        <v>8</v>
      </c>
      <c r="AE180" t="s">
        <v>23</v>
      </c>
      <c r="AF180" t="s">
        <v>68</v>
      </c>
    </row>
    <row r="181" spans="1:32" x14ac:dyDescent="0.3">
      <c r="A181" s="1" t="s">
        <v>98</v>
      </c>
      <c r="B181" s="1">
        <v>509</v>
      </c>
      <c r="C181" s="1" t="s">
        <v>97</v>
      </c>
      <c r="D181" s="8">
        <v>485.99560000000002</v>
      </c>
      <c r="E181" s="8">
        <v>-397.28399999999999</v>
      </c>
      <c r="F181" s="8">
        <v>445.82760000000002</v>
      </c>
      <c r="G181" t="s">
        <v>62</v>
      </c>
      <c r="H181">
        <v>50509</v>
      </c>
      <c r="I181" t="s">
        <v>32</v>
      </c>
      <c r="J181" s="11">
        <v>485.98819694350641</v>
      </c>
      <c r="K181" s="11">
        <v>-397.16521275372708</v>
      </c>
      <c r="L181" s="11">
        <v>445.93729560290473</v>
      </c>
      <c r="M181" s="13">
        <f t="shared" si="17"/>
        <v>7.4030564936151677E-3</v>
      </c>
      <c r="N181" s="13">
        <f t="shared" si="18"/>
        <v>-0.11878724627291604</v>
      </c>
      <c r="O181" s="13">
        <f t="shared" si="19"/>
        <v>-0.10969560290470781</v>
      </c>
      <c r="P181" s="13">
        <f t="shared" si="20"/>
        <v>0.16185901401892144</v>
      </c>
      <c r="Q181">
        <v>8</v>
      </c>
      <c r="R181" t="s">
        <v>23</v>
      </c>
      <c r="S181" t="s">
        <v>18</v>
      </c>
      <c r="T181" t="s">
        <v>62</v>
      </c>
      <c r="U181">
        <v>50509</v>
      </c>
      <c r="V181" t="s">
        <v>32</v>
      </c>
      <c r="W181" s="11">
        <v>486.0241916463886</v>
      </c>
      <c r="X181" s="11">
        <v>-397.33736502550522</v>
      </c>
      <c r="Y181" s="11">
        <v>445.78766384446499</v>
      </c>
      <c r="Z181" s="13">
        <f t="shared" si="21"/>
        <v>-2.8591646388576919E-2</v>
      </c>
      <c r="AA181" s="13">
        <f t="shared" si="22"/>
        <v>5.3365025505229369E-2</v>
      </c>
      <c r="AB181" s="13">
        <f t="shared" si="23"/>
        <v>3.9936155535031048E-2</v>
      </c>
      <c r="AC181" s="13">
        <f t="shared" si="24"/>
        <v>7.2527268729088351E-2</v>
      </c>
      <c r="AD181">
        <v>8</v>
      </c>
      <c r="AE181" t="s">
        <v>23</v>
      </c>
      <c r="AF181" t="s">
        <v>68</v>
      </c>
    </row>
    <row r="182" spans="1:32" x14ac:dyDescent="0.3">
      <c r="A182" s="1" t="s">
        <v>98</v>
      </c>
      <c r="B182" s="1">
        <v>57</v>
      </c>
      <c r="C182" s="1" t="s">
        <v>91</v>
      </c>
      <c r="D182" s="8">
        <v>380.76010000000002</v>
      </c>
      <c r="E182" s="8">
        <v>-100.874</v>
      </c>
      <c r="F182" s="8">
        <v>-129.09469999999999</v>
      </c>
      <c r="G182" t="s">
        <v>62</v>
      </c>
      <c r="H182">
        <v>50057</v>
      </c>
      <c r="I182" t="s">
        <v>33</v>
      </c>
      <c r="J182" s="11">
        <v>380.74868602711501</v>
      </c>
      <c r="K182" s="11">
        <v>-100.94046322131371</v>
      </c>
      <c r="L182" s="11">
        <v>-129.07118118011411</v>
      </c>
      <c r="M182" s="13">
        <f t="shared" si="17"/>
        <v>1.1413972885009116E-2</v>
      </c>
      <c r="N182" s="13">
        <f t="shared" si="18"/>
        <v>6.6463221313711074E-2</v>
      </c>
      <c r="O182" s="13">
        <f t="shared" si="19"/>
        <v>-2.3518819885879338E-2</v>
      </c>
      <c r="P182" s="13">
        <f t="shared" si="20"/>
        <v>7.1419699335963982E-2</v>
      </c>
      <c r="Q182">
        <v>8</v>
      </c>
      <c r="R182" t="s">
        <v>23</v>
      </c>
      <c r="S182" t="s">
        <v>18</v>
      </c>
      <c r="T182" t="s">
        <v>62</v>
      </c>
      <c r="U182">
        <v>50057</v>
      </c>
      <c r="V182" t="s">
        <v>33</v>
      </c>
      <c r="W182" s="11">
        <v>380.75761247173091</v>
      </c>
      <c r="X182" s="11">
        <v>-100.8914511690116</v>
      </c>
      <c r="Y182" s="11">
        <v>-129.1018670503359</v>
      </c>
      <c r="Z182" s="13">
        <f t="shared" si="21"/>
        <v>2.4875282691141365E-3</v>
      </c>
      <c r="AA182" s="13">
        <f t="shared" si="22"/>
        <v>1.7451169011607703E-2</v>
      </c>
      <c r="AB182" s="13">
        <f t="shared" si="23"/>
        <v>7.1670503359086979E-3</v>
      </c>
      <c r="AC182" s="13">
        <f t="shared" si="24"/>
        <v>1.9028865107483101E-2</v>
      </c>
      <c r="AD182">
        <v>8</v>
      </c>
      <c r="AE182" t="s">
        <v>23</v>
      </c>
      <c r="AF182" t="s">
        <v>68</v>
      </c>
    </row>
    <row r="183" spans="1:32" x14ac:dyDescent="0.3">
      <c r="A183" s="1" t="s">
        <v>98</v>
      </c>
      <c r="B183" s="1">
        <v>87</v>
      </c>
      <c r="C183" s="1" t="s">
        <v>86</v>
      </c>
      <c r="D183" s="8">
        <v>1193.3965000000001</v>
      </c>
      <c r="E183" s="8">
        <v>-647.45249999999999</v>
      </c>
      <c r="F183" s="8">
        <v>-967.51469999999995</v>
      </c>
      <c r="G183" t="s">
        <v>62</v>
      </c>
      <c r="H183">
        <v>50087</v>
      </c>
      <c r="I183" t="s">
        <v>34</v>
      </c>
      <c r="J183" s="11">
        <v>1193.2695779225421</v>
      </c>
      <c r="K183" s="11">
        <v>-647.97066850341753</v>
      </c>
      <c r="L183" s="11">
        <v>-967.16488629538844</v>
      </c>
      <c r="M183" s="13">
        <f t="shared" si="17"/>
        <v>0.12692207745794803</v>
      </c>
      <c r="N183" s="13">
        <f t="shared" si="18"/>
        <v>0.51816850341754161</v>
      </c>
      <c r="O183" s="13">
        <f t="shared" si="19"/>
        <v>-0.34981370461150618</v>
      </c>
      <c r="P183" s="13">
        <f t="shared" si="20"/>
        <v>0.63794783455564952</v>
      </c>
      <c r="Q183">
        <v>8</v>
      </c>
      <c r="R183" t="s">
        <v>23</v>
      </c>
      <c r="S183" t="s">
        <v>18</v>
      </c>
      <c r="T183" t="s">
        <v>62</v>
      </c>
      <c r="U183">
        <v>50087</v>
      </c>
      <c r="V183" t="s">
        <v>34</v>
      </c>
      <c r="W183" s="11">
        <v>1193.303694134594</v>
      </c>
      <c r="X183" s="11">
        <v>-647.5354236408964</v>
      </c>
      <c r="Y183" s="11">
        <v>-967.423127872137</v>
      </c>
      <c r="Z183" s="13">
        <f t="shared" si="21"/>
        <v>9.2805865406035082E-2</v>
      </c>
      <c r="AA183" s="13">
        <f t="shared" si="22"/>
        <v>8.2923640896410689E-2</v>
      </c>
      <c r="AB183" s="13">
        <f t="shared" si="23"/>
        <v>-9.1572127862946218E-2</v>
      </c>
      <c r="AC183" s="13">
        <f t="shared" si="24"/>
        <v>0.15451444422651153</v>
      </c>
      <c r="AD183">
        <v>8</v>
      </c>
      <c r="AE183" t="s">
        <v>23</v>
      </c>
      <c r="AF183" t="s">
        <v>68</v>
      </c>
    </row>
    <row r="184" spans="1:32" x14ac:dyDescent="0.3">
      <c r="A184" s="1" t="s">
        <v>98</v>
      </c>
      <c r="B184" s="1">
        <v>92</v>
      </c>
      <c r="C184" s="1" t="s">
        <v>92</v>
      </c>
      <c r="D184" s="8">
        <v>530.78909999999996</v>
      </c>
      <c r="E184" s="8">
        <v>-105.5318</v>
      </c>
      <c r="F184" s="8">
        <v>-859.3895</v>
      </c>
      <c r="G184" t="s">
        <v>62</v>
      </c>
      <c r="H184">
        <v>50092</v>
      </c>
      <c r="I184" t="s">
        <v>35</v>
      </c>
      <c r="J184" s="11">
        <v>530.79527587406346</v>
      </c>
      <c r="K184" s="11">
        <v>-105.8196781846414</v>
      </c>
      <c r="L184" s="11">
        <v>-859.36321618642785</v>
      </c>
      <c r="M184" s="13">
        <f t="shared" si="17"/>
        <v>-6.1758740635013964E-3</v>
      </c>
      <c r="N184" s="13">
        <f t="shared" si="18"/>
        <v>0.28787818464140003</v>
      </c>
      <c r="O184" s="13">
        <f t="shared" si="19"/>
        <v>-2.6283813572149484E-2</v>
      </c>
      <c r="P184" s="13">
        <f t="shared" si="20"/>
        <v>0.28914153881580512</v>
      </c>
      <c r="Q184">
        <v>8</v>
      </c>
      <c r="R184" t="s">
        <v>23</v>
      </c>
      <c r="S184" t="s">
        <v>18</v>
      </c>
      <c r="T184" t="s">
        <v>62</v>
      </c>
      <c r="U184">
        <v>50092</v>
      </c>
      <c r="V184" t="s">
        <v>35</v>
      </c>
      <c r="W184" s="11">
        <v>530.79499363073501</v>
      </c>
      <c r="X184" s="11">
        <v>-105.47100548871791</v>
      </c>
      <c r="Y184" s="11">
        <v>-859.39773462333574</v>
      </c>
      <c r="Z184" s="13">
        <f t="shared" si="21"/>
        <v>-5.8936307350450079E-3</v>
      </c>
      <c r="AA184" s="13">
        <f t="shared" si="22"/>
        <v>-6.0794511282097119E-2</v>
      </c>
      <c r="AB184" s="13">
        <f t="shared" si="23"/>
        <v>8.2346233357384335E-3</v>
      </c>
      <c r="AC184" s="13">
        <f t="shared" si="24"/>
        <v>6.1632106135938509E-2</v>
      </c>
      <c r="AD184">
        <v>8</v>
      </c>
      <c r="AE184" t="s">
        <v>23</v>
      </c>
      <c r="AF184" t="s">
        <v>68</v>
      </c>
    </row>
    <row r="185" spans="1:32" x14ac:dyDescent="0.3">
      <c r="A185" s="1" t="s">
        <v>98</v>
      </c>
      <c r="B185" s="1">
        <v>96</v>
      </c>
      <c r="C185" s="1" t="s">
        <v>84</v>
      </c>
      <c r="D185" s="8">
        <v>424.96019999999999</v>
      </c>
      <c r="E185" s="8">
        <v>6.1753999999999998</v>
      </c>
      <c r="F185" s="8">
        <v>305.8263</v>
      </c>
      <c r="G185" t="s">
        <v>62</v>
      </c>
      <c r="H185">
        <v>50096</v>
      </c>
      <c r="I185" t="s">
        <v>36</v>
      </c>
      <c r="J185" s="11">
        <v>424.95994877556319</v>
      </c>
      <c r="K185" s="11">
        <v>6.2568005313602502</v>
      </c>
      <c r="L185" s="11">
        <v>305.83375130866227</v>
      </c>
      <c r="M185" s="13">
        <f t="shared" si="17"/>
        <v>2.512244367949279E-4</v>
      </c>
      <c r="N185" s="13">
        <f t="shared" si="18"/>
        <v>-8.1400531360250383E-2</v>
      </c>
      <c r="O185" s="13">
        <f t="shared" si="19"/>
        <v>-7.4513086622687297E-3</v>
      </c>
      <c r="P185" s="13">
        <f t="shared" si="20"/>
        <v>8.1741247973279377E-2</v>
      </c>
      <c r="Q185">
        <v>8</v>
      </c>
      <c r="R185" t="s">
        <v>23</v>
      </c>
      <c r="S185" t="s">
        <v>18</v>
      </c>
      <c r="T185" t="s">
        <v>62</v>
      </c>
      <c r="U185">
        <v>50096</v>
      </c>
      <c r="V185" t="s">
        <v>36</v>
      </c>
      <c r="W185" s="11">
        <v>424.96747086920618</v>
      </c>
      <c r="X185" s="11">
        <v>6.136171912240874</v>
      </c>
      <c r="Y185" s="11">
        <v>305.84498686516542</v>
      </c>
      <c r="Z185" s="13">
        <f t="shared" si="21"/>
        <v>-7.2708692061951297E-3</v>
      </c>
      <c r="AA185" s="13">
        <f t="shared" si="22"/>
        <v>3.9228087759125785E-2</v>
      </c>
      <c r="AB185" s="13">
        <f t="shared" si="23"/>
        <v>-1.8686865165420841E-2</v>
      </c>
      <c r="AC185" s="13">
        <f t="shared" si="24"/>
        <v>4.4055729910669847E-2</v>
      </c>
      <c r="AD185">
        <v>8</v>
      </c>
      <c r="AE185" t="s">
        <v>23</v>
      </c>
      <c r="AF185" t="s">
        <v>68</v>
      </c>
    </row>
    <row r="186" spans="1:32" x14ac:dyDescent="0.3">
      <c r="A186" s="1" t="s">
        <v>109</v>
      </c>
      <c r="B186" s="1">
        <v>1005</v>
      </c>
      <c r="C186" s="1" t="s">
        <v>75</v>
      </c>
      <c r="D186" s="8">
        <v>575.67660000000001</v>
      </c>
      <c r="E186" s="8">
        <v>-53.408299999999997</v>
      </c>
      <c r="F186" s="8">
        <v>347.34100000000001</v>
      </c>
      <c r="G186" t="s">
        <v>63</v>
      </c>
      <c r="H186">
        <v>51008</v>
      </c>
      <c r="I186" t="s">
        <v>16</v>
      </c>
      <c r="J186" s="11">
        <v>575.66978264430441</v>
      </c>
      <c r="K186" s="11">
        <v>-53.298578113305759</v>
      </c>
      <c r="L186" s="11">
        <v>347.36152693410833</v>
      </c>
      <c r="M186" s="13">
        <f t="shared" si="17"/>
        <v>6.8173556956026005E-3</v>
      </c>
      <c r="N186" s="13">
        <f t="shared" si="18"/>
        <v>-0.10972188669423844</v>
      </c>
      <c r="O186" s="13">
        <f t="shared" si="19"/>
        <v>-2.0526934108318073E-2</v>
      </c>
      <c r="P186" s="13">
        <f t="shared" si="20"/>
        <v>0.11183346450106468</v>
      </c>
      <c r="Q186">
        <v>9</v>
      </c>
      <c r="R186" t="s">
        <v>17</v>
      </c>
      <c r="S186" t="s">
        <v>18</v>
      </c>
      <c r="T186" t="s">
        <v>63</v>
      </c>
      <c r="U186">
        <v>1005</v>
      </c>
      <c r="V186" s="6" t="s">
        <v>42</v>
      </c>
      <c r="W186" s="11">
        <v>575.67660000000001</v>
      </c>
      <c r="X186" s="11">
        <v>-53.408299999999997</v>
      </c>
      <c r="Y186" s="11">
        <v>347.34100000000001</v>
      </c>
      <c r="Z186" s="13"/>
      <c r="AA186" s="13"/>
      <c r="AB186" s="13"/>
      <c r="AC186" s="13"/>
      <c r="AD186">
        <v>9</v>
      </c>
      <c r="AE186" t="s">
        <v>17</v>
      </c>
    </row>
    <row r="187" spans="1:32" x14ac:dyDescent="0.3">
      <c r="A187" s="1" t="s">
        <v>109</v>
      </c>
      <c r="B187" s="1">
        <v>1012</v>
      </c>
      <c r="C187" s="1" t="s">
        <v>76</v>
      </c>
      <c r="D187" s="8">
        <v>1296.7348999999999</v>
      </c>
      <c r="E187" s="8">
        <v>-44.492600000000003</v>
      </c>
      <c r="F187" s="8">
        <v>-489.34469999999999</v>
      </c>
      <c r="G187" t="s">
        <v>63</v>
      </c>
      <c r="H187">
        <v>51011</v>
      </c>
      <c r="I187" t="s">
        <v>19</v>
      </c>
      <c r="J187" s="11">
        <v>1296.716454963846</v>
      </c>
      <c r="K187" s="11">
        <v>-44.54156126320958</v>
      </c>
      <c r="L187" s="11">
        <v>-489.33615541894608</v>
      </c>
      <c r="M187" s="13">
        <f t="shared" si="17"/>
        <v>1.844503615393478E-2</v>
      </c>
      <c r="N187" s="13">
        <f t="shared" si="18"/>
        <v>4.8961263209577055E-2</v>
      </c>
      <c r="O187" s="13">
        <f t="shared" si="19"/>
        <v>-8.5445810539113154E-3</v>
      </c>
      <c r="P187" s="13">
        <f t="shared" si="20"/>
        <v>5.3013531472486386E-2</v>
      </c>
      <c r="Q187">
        <v>9</v>
      </c>
      <c r="R187" t="s">
        <v>17</v>
      </c>
      <c r="S187" t="s">
        <v>18</v>
      </c>
      <c r="T187" t="s">
        <v>63</v>
      </c>
      <c r="U187">
        <v>1012</v>
      </c>
      <c r="V187" s="6" t="s">
        <v>43</v>
      </c>
      <c r="W187" s="11">
        <v>1296.7348999999999</v>
      </c>
      <c r="X187" s="11">
        <v>-44.492600000000003</v>
      </c>
      <c r="Y187" s="11">
        <v>-489.34469999999999</v>
      </c>
      <c r="Z187" s="13"/>
      <c r="AA187" s="13"/>
      <c r="AB187" s="13"/>
      <c r="AC187" s="13"/>
      <c r="AD187">
        <v>9</v>
      </c>
      <c r="AE187" t="s">
        <v>17</v>
      </c>
    </row>
    <row r="188" spans="1:32" x14ac:dyDescent="0.3">
      <c r="A188" s="1" t="s">
        <v>109</v>
      </c>
      <c r="B188" s="1">
        <v>1017</v>
      </c>
      <c r="C188" s="1" t="s">
        <v>77</v>
      </c>
      <c r="D188" s="8">
        <v>604.62</v>
      </c>
      <c r="E188" s="8">
        <v>-43.492400000000004</v>
      </c>
      <c r="F188" s="8">
        <v>-1114.9730999999999</v>
      </c>
      <c r="G188" t="s">
        <v>63</v>
      </c>
      <c r="H188">
        <v>51024</v>
      </c>
      <c r="I188" t="s">
        <v>20</v>
      </c>
      <c r="J188" s="11">
        <v>604.60389896760398</v>
      </c>
      <c r="K188" s="11">
        <v>-43.750728822215521</v>
      </c>
      <c r="L188" s="11">
        <v>-1114.9503843578821</v>
      </c>
      <c r="M188" s="13">
        <f t="shared" si="17"/>
        <v>1.6101032396022674E-2</v>
      </c>
      <c r="N188" s="13">
        <f t="shared" si="18"/>
        <v>0.25832882221551756</v>
      </c>
      <c r="O188" s="13">
        <f t="shared" si="19"/>
        <v>-2.2715642117873358E-2</v>
      </c>
      <c r="P188" s="13">
        <f t="shared" si="20"/>
        <v>0.25982498730549675</v>
      </c>
      <c r="Q188">
        <v>9</v>
      </c>
      <c r="R188" t="s">
        <v>17</v>
      </c>
      <c r="S188" t="s">
        <v>18</v>
      </c>
      <c r="T188" t="s">
        <v>63</v>
      </c>
      <c r="U188">
        <v>1017</v>
      </c>
      <c r="V188" s="6" t="s">
        <v>44</v>
      </c>
      <c r="W188" s="11">
        <v>604.62</v>
      </c>
      <c r="X188" s="11">
        <v>-43.492400000000004</v>
      </c>
      <c r="Y188" s="11">
        <v>-1114.9730999999999</v>
      </c>
      <c r="Z188" s="13"/>
      <c r="AA188" s="13"/>
      <c r="AB188" s="13"/>
      <c r="AC188" s="13"/>
      <c r="AD188">
        <v>9</v>
      </c>
      <c r="AE188" t="s">
        <v>17</v>
      </c>
    </row>
    <row r="189" spans="1:32" x14ac:dyDescent="0.3">
      <c r="A189" s="1" t="s">
        <v>109</v>
      </c>
      <c r="B189" s="1">
        <v>1001</v>
      </c>
      <c r="C189" s="1" t="s">
        <v>78</v>
      </c>
      <c r="D189" s="8">
        <v>-115.61799999999999</v>
      </c>
      <c r="E189" s="8">
        <v>-52.151499999999999</v>
      </c>
      <c r="F189" s="8">
        <v>-283.08890000000002</v>
      </c>
      <c r="G189" t="s">
        <v>63</v>
      </c>
      <c r="H189">
        <v>51003</v>
      </c>
      <c r="I189" t="s">
        <v>21</v>
      </c>
      <c r="J189" s="11">
        <v>-115.6390892939861</v>
      </c>
      <c r="K189" s="11">
        <v>-52.189662226197591</v>
      </c>
      <c r="L189" s="11">
        <v>-283.08147217913711</v>
      </c>
      <c r="M189" s="13">
        <f t="shared" si="17"/>
        <v>2.108929398610826E-2</v>
      </c>
      <c r="N189" s="13">
        <f t="shared" si="18"/>
        <v>3.816222619759202E-2</v>
      </c>
      <c r="O189" s="13">
        <f t="shared" si="19"/>
        <v>-7.4278208629152687E-3</v>
      </c>
      <c r="P189" s="13">
        <f t="shared" si="20"/>
        <v>4.4229925977331677E-2</v>
      </c>
      <c r="Q189">
        <v>9</v>
      </c>
      <c r="R189" t="s">
        <v>17</v>
      </c>
      <c r="S189" t="s">
        <v>18</v>
      </c>
      <c r="T189" t="s">
        <v>63</v>
      </c>
      <c r="U189">
        <v>1001</v>
      </c>
      <c r="V189" s="6" t="s">
        <v>45</v>
      </c>
      <c r="W189" s="11">
        <v>-115.61799999999999</v>
      </c>
      <c r="X189" s="11">
        <v>-52.151499999999999</v>
      </c>
      <c r="Y189" s="11">
        <v>-283.08890000000002</v>
      </c>
      <c r="Z189" s="13"/>
      <c r="AA189" s="13"/>
      <c r="AB189" s="13"/>
      <c r="AC189" s="13"/>
      <c r="AD189">
        <v>9</v>
      </c>
      <c r="AE189" t="s">
        <v>17</v>
      </c>
    </row>
    <row r="190" spans="1:32" x14ac:dyDescent="0.3">
      <c r="A190" s="1" t="s">
        <v>109</v>
      </c>
      <c r="B190" s="1">
        <v>501</v>
      </c>
      <c r="C190" s="1" t="s">
        <v>94</v>
      </c>
      <c r="D190" s="8">
        <v>-0.14779999999999999</v>
      </c>
      <c r="E190" s="8">
        <v>-0.91820000000000002</v>
      </c>
      <c r="F190" s="8">
        <v>-0.1129</v>
      </c>
      <c r="G190" t="s">
        <v>63</v>
      </c>
      <c r="H190">
        <v>501</v>
      </c>
      <c r="I190" s="5" t="s">
        <v>10</v>
      </c>
      <c r="J190" s="11">
        <v>-0.14779999999999999</v>
      </c>
      <c r="K190" s="11">
        <v>-0.91820000000000002</v>
      </c>
      <c r="L190" s="11">
        <v>-0.1129</v>
      </c>
      <c r="M190" s="13"/>
      <c r="N190" s="13"/>
      <c r="O190" s="13"/>
      <c r="P190" s="13"/>
      <c r="Q190">
        <v>9</v>
      </c>
      <c r="R190" t="s">
        <v>11</v>
      </c>
      <c r="T190" t="s">
        <v>63</v>
      </c>
      <c r="U190">
        <v>50501</v>
      </c>
      <c r="V190" t="s">
        <v>67</v>
      </c>
      <c r="W190" s="11">
        <v>-0.12042106652853039</v>
      </c>
      <c r="X190" s="11">
        <v>-0.97467488262486546</v>
      </c>
      <c r="Y190" s="11">
        <v>-0.12042993433114391</v>
      </c>
      <c r="Z190" s="13">
        <f t="shared" si="21"/>
        <v>-2.7378933471469594E-2</v>
      </c>
      <c r="AA190" s="13">
        <f t="shared" si="22"/>
        <v>5.6474882624865441E-2</v>
      </c>
      <c r="AB190" s="13">
        <f t="shared" si="23"/>
        <v>7.529934331143906E-3</v>
      </c>
      <c r="AC190" s="13">
        <f t="shared" si="24"/>
        <v>6.3211694144033395E-2</v>
      </c>
      <c r="AD190">
        <v>9</v>
      </c>
      <c r="AE190" t="s">
        <v>11</v>
      </c>
      <c r="AF190" t="s">
        <v>68</v>
      </c>
    </row>
    <row r="191" spans="1:32" x14ac:dyDescent="0.3">
      <c r="A191" s="1" t="s">
        <v>109</v>
      </c>
      <c r="B191" s="1">
        <v>502</v>
      </c>
      <c r="C191" s="1" t="s">
        <v>85</v>
      </c>
      <c r="D191" s="8">
        <v>172.00309999999999</v>
      </c>
      <c r="E191" s="8">
        <v>-0.15670000000000001</v>
      </c>
      <c r="F191" s="8">
        <v>-175.39689999999999</v>
      </c>
      <c r="G191" t="s">
        <v>63</v>
      </c>
      <c r="H191">
        <v>502</v>
      </c>
      <c r="I191" s="5" t="s">
        <v>12</v>
      </c>
      <c r="J191" s="11">
        <v>172.00309999999999</v>
      </c>
      <c r="K191" s="11">
        <v>-0.15670000000000001</v>
      </c>
      <c r="L191" s="11">
        <v>-175.39689999999999</v>
      </c>
      <c r="M191" s="13"/>
      <c r="N191" s="13"/>
      <c r="O191" s="13"/>
      <c r="P191" s="13"/>
      <c r="Q191">
        <v>9</v>
      </c>
      <c r="R191" t="s">
        <v>11</v>
      </c>
      <c r="T191" t="s">
        <v>63</v>
      </c>
      <c r="U191">
        <v>50502</v>
      </c>
      <c r="V191" t="s">
        <v>69</v>
      </c>
      <c r="W191" s="11">
        <v>172.01829068030841</v>
      </c>
      <c r="X191" s="11">
        <v>-0.128354795647148</v>
      </c>
      <c r="Y191" s="11">
        <v>-175.39192492558661</v>
      </c>
      <c r="Z191" s="13">
        <f t="shared" si="21"/>
        <v>-1.5190680308421634E-2</v>
      </c>
      <c r="AA191" s="13">
        <f t="shared" si="22"/>
        <v>-2.834520435285201E-2</v>
      </c>
      <c r="AB191" s="13">
        <f t="shared" si="23"/>
        <v>-4.9750744133802982E-3</v>
      </c>
      <c r="AC191" s="13">
        <f t="shared" si="24"/>
        <v>3.2541646292962509E-2</v>
      </c>
      <c r="AD191">
        <v>9</v>
      </c>
      <c r="AE191" t="s">
        <v>11</v>
      </c>
      <c r="AF191" t="s">
        <v>68</v>
      </c>
    </row>
    <row r="192" spans="1:32" x14ac:dyDescent="0.3">
      <c r="A192" s="1" t="s">
        <v>109</v>
      </c>
      <c r="B192" s="1">
        <v>503</v>
      </c>
      <c r="C192" s="1" t="s">
        <v>95</v>
      </c>
      <c r="D192" s="8">
        <v>170.5735</v>
      </c>
      <c r="E192" s="8">
        <v>-1.1456999999999999</v>
      </c>
      <c r="F192" s="8">
        <v>-1.0931</v>
      </c>
      <c r="G192" t="s">
        <v>63</v>
      </c>
      <c r="H192">
        <v>503</v>
      </c>
      <c r="I192" s="5" t="s">
        <v>13</v>
      </c>
      <c r="J192" s="11">
        <v>170.5735</v>
      </c>
      <c r="K192" s="11">
        <v>-1.1456999999999999</v>
      </c>
      <c r="L192" s="11">
        <v>-1.0931</v>
      </c>
      <c r="M192" s="13"/>
      <c r="N192" s="13"/>
      <c r="O192" s="13"/>
      <c r="P192" s="13"/>
      <c r="Q192">
        <v>9</v>
      </c>
      <c r="R192" t="s">
        <v>11</v>
      </c>
      <c r="T192" t="s">
        <v>63</v>
      </c>
      <c r="U192">
        <v>50503</v>
      </c>
      <c r="V192" t="s">
        <v>70</v>
      </c>
      <c r="W192" s="11">
        <v>170.588438945581</v>
      </c>
      <c r="X192" s="11">
        <v>-1.121476011829301</v>
      </c>
      <c r="Y192" s="11">
        <v>-1.091134562127217</v>
      </c>
      <c r="Z192" s="13">
        <f t="shared" si="21"/>
        <v>-1.4938945581008056E-2</v>
      </c>
      <c r="AA192" s="13">
        <f t="shared" si="22"/>
        <v>-2.4223988170698929E-2</v>
      </c>
      <c r="AB192" s="13">
        <f t="shared" si="23"/>
        <v>-1.9654378727829158E-3</v>
      </c>
      <c r="AC192" s="13">
        <f t="shared" si="24"/>
        <v>2.8527822279281172E-2</v>
      </c>
      <c r="AD192">
        <v>9</v>
      </c>
      <c r="AE192" t="s">
        <v>11</v>
      </c>
      <c r="AF192" t="s">
        <v>68</v>
      </c>
    </row>
    <row r="193" spans="1:32" x14ac:dyDescent="0.3">
      <c r="A193" s="1" t="s">
        <v>109</v>
      </c>
      <c r="B193" s="1">
        <v>504</v>
      </c>
      <c r="C193" s="1" t="s">
        <v>87</v>
      </c>
      <c r="D193" s="8">
        <v>346.33370000000002</v>
      </c>
      <c r="E193" s="8">
        <v>-0.11310000000000001</v>
      </c>
      <c r="F193" s="8">
        <v>-8.6400000000000005E-2</v>
      </c>
      <c r="G193" t="s">
        <v>63</v>
      </c>
      <c r="H193">
        <v>504</v>
      </c>
      <c r="I193" s="5" t="s">
        <v>14</v>
      </c>
      <c r="J193" s="11">
        <v>346.33370000000002</v>
      </c>
      <c r="K193" s="11">
        <v>-0.11310000000000001</v>
      </c>
      <c r="L193" s="11">
        <v>-8.6400000000000005E-2</v>
      </c>
      <c r="M193" s="13"/>
      <c r="N193" s="13"/>
      <c r="O193" s="13"/>
      <c r="P193" s="13"/>
      <c r="Q193">
        <v>9</v>
      </c>
      <c r="R193" t="s">
        <v>11</v>
      </c>
      <c r="T193" t="s">
        <v>63</v>
      </c>
      <c r="U193">
        <v>50504</v>
      </c>
      <c r="V193" t="s">
        <v>71</v>
      </c>
      <c r="W193" s="11">
        <v>346.34121937554471</v>
      </c>
      <c r="X193" s="11">
        <v>-0.1787579621694656</v>
      </c>
      <c r="Y193" s="11">
        <v>-9.1294161957270803E-2</v>
      </c>
      <c r="Z193" s="13">
        <f t="shared" si="21"/>
        <v>-7.5193755446889554E-3</v>
      </c>
      <c r="AA193" s="13">
        <f t="shared" si="22"/>
        <v>6.5657962169465595E-2</v>
      </c>
      <c r="AB193" s="13">
        <f t="shared" si="23"/>
        <v>4.8941619572707984E-3</v>
      </c>
      <c r="AC193" s="13">
        <f t="shared" si="24"/>
        <v>6.6268105647385445E-2</v>
      </c>
      <c r="AD193">
        <v>9</v>
      </c>
      <c r="AE193" t="s">
        <v>11</v>
      </c>
      <c r="AF193" t="s">
        <v>68</v>
      </c>
    </row>
    <row r="194" spans="1:32" x14ac:dyDescent="0.3">
      <c r="A194" s="1" t="s">
        <v>109</v>
      </c>
      <c r="B194" s="1">
        <v>505</v>
      </c>
      <c r="C194" s="1" t="s">
        <v>96</v>
      </c>
      <c r="D194" s="8">
        <v>169.74</v>
      </c>
      <c r="E194" s="8">
        <v>-0.87009999999999998</v>
      </c>
      <c r="F194" s="8">
        <v>175.0402</v>
      </c>
      <c r="G194" t="s">
        <v>63</v>
      </c>
      <c r="H194">
        <v>505</v>
      </c>
      <c r="I194" s="5" t="s">
        <v>15</v>
      </c>
      <c r="J194" s="11">
        <v>169.74</v>
      </c>
      <c r="K194" s="11">
        <v>-0.87009999999999998</v>
      </c>
      <c r="L194" s="11">
        <v>175.0402</v>
      </c>
      <c r="M194" s="13"/>
      <c r="N194" s="13"/>
      <c r="O194" s="13"/>
      <c r="P194" s="13"/>
      <c r="Q194">
        <v>9</v>
      </c>
      <c r="R194" t="s">
        <v>11</v>
      </c>
      <c r="T194" t="s">
        <v>63</v>
      </c>
      <c r="U194">
        <v>50505</v>
      </c>
      <c r="V194" t="s">
        <v>72</v>
      </c>
      <c r="W194" s="11">
        <v>169.75624496058461</v>
      </c>
      <c r="X194" s="11">
        <v>-0.92974087536729022</v>
      </c>
      <c r="Y194" s="11">
        <v>175.0277828534893</v>
      </c>
      <c r="Z194" s="13">
        <f t="shared" si="21"/>
        <v>-1.6244960584600676E-2</v>
      </c>
      <c r="AA194" s="13">
        <f t="shared" si="22"/>
        <v>5.9640875367290236E-2</v>
      </c>
      <c r="AB194" s="13">
        <f t="shared" si="23"/>
        <v>1.2417146510699695E-2</v>
      </c>
      <c r="AC194" s="13">
        <f t="shared" si="24"/>
        <v>6.3048539130102429E-2</v>
      </c>
      <c r="AD194">
        <v>9</v>
      </c>
      <c r="AE194" t="s">
        <v>11</v>
      </c>
      <c r="AF194" t="s">
        <v>68</v>
      </c>
    </row>
    <row r="195" spans="1:32" x14ac:dyDescent="0.3">
      <c r="A195" s="1" t="s">
        <v>109</v>
      </c>
      <c r="B195" s="1">
        <v>116</v>
      </c>
      <c r="C195" s="1" t="s">
        <v>81</v>
      </c>
      <c r="D195" s="8">
        <v>1013.1879</v>
      </c>
      <c r="E195" s="8">
        <v>-622.46770000000004</v>
      </c>
      <c r="F195" s="8">
        <v>-1136.6288999999999</v>
      </c>
      <c r="G195" t="s">
        <v>63</v>
      </c>
      <c r="H195">
        <v>50116</v>
      </c>
      <c r="I195" t="s">
        <v>22</v>
      </c>
      <c r="J195" s="11">
        <v>1013.032421611746</v>
      </c>
      <c r="K195" s="11">
        <v>-622.85326897348762</v>
      </c>
      <c r="L195" s="11">
        <v>-1136.2822064253321</v>
      </c>
      <c r="M195" s="13">
        <f t="shared" ref="M195:M258" si="25">D195-J195</f>
        <v>0.1554783882539823</v>
      </c>
      <c r="N195" s="13">
        <f t="shared" ref="N195:N258" si="26">E195-K195</f>
        <v>0.38556897348757957</v>
      </c>
      <c r="O195" s="13">
        <f t="shared" ref="O195:O258" si="27">F195-L195</f>
        <v>-0.34669357466782458</v>
      </c>
      <c r="P195" s="13">
        <f t="shared" ref="P195:P258" si="28">SQRT(M195*M195+N195*N195+O195*O195)</f>
        <v>0.54132559263928792</v>
      </c>
      <c r="Q195">
        <v>9</v>
      </c>
      <c r="R195" t="s">
        <v>23</v>
      </c>
      <c r="S195" t="s">
        <v>18</v>
      </c>
      <c r="T195" t="s">
        <v>63</v>
      </c>
      <c r="U195">
        <v>50116</v>
      </c>
      <c r="V195" t="s">
        <v>22</v>
      </c>
      <c r="W195" s="11">
        <v>1013.0327321775339</v>
      </c>
      <c r="X195" s="11">
        <v>-622.61721966914592</v>
      </c>
      <c r="Y195" s="11">
        <v>-1136.441003557215</v>
      </c>
      <c r="Z195" s="13">
        <f t="shared" ref="Z195:Z254" si="29">D195-W195</f>
        <v>0.15516782246606908</v>
      </c>
      <c r="AA195" s="13">
        <f t="shared" ref="AA195:AA254" si="30">E195-X195</f>
        <v>0.14951966914588866</v>
      </c>
      <c r="AB195" s="13">
        <f t="shared" ref="AB195:AB254" si="31">F195-Y195</f>
        <v>-0.18789644278490414</v>
      </c>
      <c r="AC195" s="13">
        <f t="shared" ref="AC195:AC254" si="32">SQRT(Z195*Z195+AA195*AA195+AB195*AB195)</f>
        <v>0.28589903427884866</v>
      </c>
      <c r="AD195">
        <v>9</v>
      </c>
      <c r="AE195" t="s">
        <v>23</v>
      </c>
      <c r="AF195" t="s">
        <v>68</v>
      </c>
    </row>
    <row r="196" spans="1:32" x14ac:dyDescent="0.3">
      <c r="A196" s="1" t="s">
        <v>109</v>
      </c>
      <c r="B196" s="1">
        <v>121</v>
      </c>
      <c r="C196" s="1" t="s">
        <v>93</v>
      </c>
      <c r="D196" s="8">
        <v>635.43309999999997</v>
      </c>
      <c r="E196" s="8">
        <v>-99.613399999999999</v>
      </c>
      <c r="F196" s="8">
        <v>95.958200000000005</v>
      </c>
      <c r="G196" t="s">
        <v>63</v>
      </c>
      <c r="H196">
        <v>50121</v>
      </c>
      <c r="I196" t="s">
        <v>24</v>
      </c>
      <c r="J196" s="11">
        <v>635.42124003083313</v>
      </c>
      <c r="K196" s="11">
        <v>-99.487685305784709</v>
      </c>
      <c r="L196" s="11">
        <v>95.998122901048006</v>
      </c>
      <c r="M196" s="13">
        <f t="shared" si="25"/>
        <v>1.1859969166835072E-2</v>
      </c>
      <c r="N196" s="13">
        <f t="shared" si="26"/>
        <v>-0.12571469421529002</v>
      </c>
      <c r="O196" s="13">
        <f t="shared" si="27"/>
        <v>-3.9922901048001336E-2</v>
      </c>
      <c r="P196" s="13">
        <f t="shared" si="28"/>
        <v>0.13243368619188495</v>
      </c>
      <c r="Q196">
        <v>9</v>
      </c>
      <c r="R196" t="s">
        <v>23</v>
      </c>
      <c r="S196" t="s">
        <v>18</v>
      </c>
      <c r="T196" t="s">
        <v>63</v>
      </c>
      <c r="U196">
        <v>50121</v>
      </c>
      <c r="V196" t="s">
        <v>24</v>
      </c>
      <c r="W196" s="11">
        <v>635.43441826789058</v>
      </c>
      <c r="X196" s="11">
        <v>-99.551357611045034</v>
      </c>
      <c r="Y196" s="11">
        <v>95.970521035730854</v>
      </c>
      <c r="Z196" s="13">
        <f t="shared" si="29"/>
        <v>-1.3182678906105139E-3</v>
      </c>
      <c r="AA196" s="13">
        <f t="shared" si="30"/>
        <v>-6.2042388954964167E-2</v>
      </c>
      <c r="AB196" s="13">
        <f t="shared" si="31"/>
        <v>-1.2321035730849417E-2</v>
      </c>
      <c r="AC196" s="13">
        <f t="shared" si="32"/>
        <v>6.3267715139329495E-2</v>
      </c>
      <c r="AD196">
        <v>9</v>
      </c>
      <c r="AE196" t="s">
        <v>23</v>
      </c>
      <c r="AF196" t="s">
        <v>68</v>
      </c>
    </row>
    <row r="197" spans="1:32" x14ac:dyDescent="0.3">
      <c r="A197" s="1" t="s">
        <v>109</v>
      </c>
      <c r="B197" s="1">
        <v>13</v>
      </c>
      <c r="C197" s="1" t="s">
        <v>80</v>
      </c>
      <c r="D197" s="8">
        <v>279.67439999999999</v>
      </c>
      <c r="E197" s="8">
        <v>2.5861999999999998</v>
      </c>
      <c r="F197" s="8">
        <v>200.75739999999999</v>
      </c>
      <c r="G197" t="s">
        <v>63</v>
      </c>
      <c r="H197">
        <v>50013</v>
      </c>
      <c r="I197" t="s">
        <v>25</v>
      </c>
      <c r="J197" s="11">
        <v>279.68074930301032</v>
      </c>
      <c r="K197" s="11">
        <v>2.5840542431088811</v>
      </c>
      <c r="L197" s="11">
        <v>200.75255452878741</v>
      </c>
      <c r="M197" s="13">
        <f t="shared" si="25"/>
        <v>-6.3493030103245474E-3</v>
      </c>
      <c r="N197" s="13">
        <f t="shared" si="26"/>
        <v>2.145756891118733E-3</v>
      </c>
      <c r="O197" s="13">
        <f t="shared" si="27"/>
        <v>4.845471212576058E-3</v>
      </c>
      <c r="P197" s="13">
        <f t="shared" si="28"/>
        <v>8.2702184145645868E-3</v>
      </c>
      <c r="Q197">
        <v>9</v>
      </c>
      <c r="R197" t="s">
        <v>23</v>
      </c>
      <c r="S197" t="s">
        <v>18</v>
      </c>
      <c r="T197" t="s">
        <v>63</v>
      </c>
      <c r="U197">
        <v>50013</v>
      </c>
      <c r="V197" t="s">
        <v>25</v>
      </c>
      <c r="W197" s="11">
        <v>279.69670334393618</v>
      </c>
      <c r="X197" s="11">
        <v>2.5043540540353781</v>
      </c>
      <c r="Y197" s="11">
        <v>200.7499923107726</v>
      </c>
      <c r="Z197" s="13">
        <f t="shared" si="29"/>
        <v>-2.2303343936187048E-2</v>
      </c>
      <c r="AA197" s="13">
        <f t="shared" si="30"/>
        <v>8.1845945964621691E-2</v>
      </c>
      <c r="AB197" s="13">
        <f t="shared" si="31"/>
        <v>7.4076892273922113E-3</v>
      </c>
      <c r="AC197" s="13">
        <f t="shared" si="32"/>
        <v>8.5153225900544999E-2</v>
      </c>
      <c r="AD197">
        <v>9</v>
      </c>
      <c r="AE197" t="s">
        <v>23</v>
      </c>
      <c r="AF197" t="s">
        <v>68</v>
      </c>
    </row>
    <row r="198" spans="1:32" x14ac:dyDescent="0.3">
      <c r="A198" s="1" t="s">
        <v>109</v>
      </c>
      <c r="B198" s="1">
        <v>34</v>
      </c>
      <c r="C198" s="1" t="s">
        <v>74</v>
      </c>
      <c r="D198" s="8">
        <v>757.78790000000004</v>
      </c>
      <c r="E198" s="8">
        <v>-93.557500000000005</v>
      </c>
      <c r="F198" s="8">
        <v>-665.89800000000002</v>
      </c>
      <c r="G198" t="s">
        <v>63</v>
      </c>
      <c r="H198">
        <v>50034</v>
      </c>
      <c r="I198" t="s">
        <v>26</v>
      </c>
      <c r="J198" s="11">
        <v>757.76383655318693</v>
      </c>
      <c r="K198" s="11">
        <v>-93.625675102226779</v>
      </c>
      <c r="L198" s="11">
        <v>-665.87332240455055</v>
      </c>
      <c r="M198" s="13">
        <f t="shared" si="25"/>
        <v>2.4063446813102018E-2</v>
      </c>
      <c r="N198" s="13">
        <f t="shared" si="26"/>
        <v>6.8175102226774698E-2</v>
      </c>
      <c r="O198" s="13">
        <f t="shared" si="27"/>
        <v>-2.467759544947512E-2</v>
      </c>
      <c r="P198" s="13">
        <f t="shared" si="28"/>
        <v>7.6392916905470537E-2</v>
      </c>
      <c r="Q198">
        <v>9</v>
      </c>
      <c r="R198" t="s">
        <v>23</v>
      </c>
      <c r="S198" t="s">
        <v>18</v>
      </c>
      <c r="T198" t="s">
        <v>63</v>
      </c>
      <c r="U198">
        <v>50034</v>
      </c>
      <c r="V198" t="s">
        <v>26</v>
      </c>
      <c r="W198" s="11">
        <v>757.7786813395029</v>
      </c>
      <c r="X198" s="11">
        <v>-93.500806110399267</v>
      </c>
      <c r="Y198" s="11">
        <v>-665.89918264036464</v>
      </c>
      <c r="Z198" s="13">
        <f t="shared" si="29"/>
        <v>9.218660497140263E-3</v>
      </c>
      <c r="AA198" s="13">
        <f t="shared" si="30"/>
        <v>-5.669388960073718E-2</v>
      </c>
      <c r="AB198" s="13">
        <f t="shared" si="31"/>
        <v>1.1826403646182371E-3</v>
      </c>
      <c r="AC198" s="13">
        <f t="shared" si="32"/>
        <v>5.7450669775505087E-2</v>
      </c>
      <c r="AD198">
        <v>9</v>
      </c>
      <c r="AE198" t="s">
        <v>23</v>
      </c>
      <c r="AF198" t="s">
        <v>68</v>
      </c>
    </row>
    <row r="199" spans="1:32" x14ac:dyDescent="0.3">
      <c r="A199" s="5"/>
      <c r="B199" s="5"/>
      <c r="C199" s="5"/>
      <c r="D199" s="9"/>
      <c r="E199" s="9"/>
      <c r="F199" s="9"/>
      <c r="G199" t="s">
        <v>63</v>
      </c>
      <c r="H199">
        <v>50037</v>
      </c>
      <c r="I199" t="s">
        <v>27</v>
      </c>
      <c r="J199" s="11">
        <v>33.357710144527509</v>
      </c>
      <c r="K199" s="11">
        <v>-99.365182081947111</v>
      </c>
      <c r="L199" s="11">
        <v>-390.91042515220983</v>
      </c>
      <c r="M199" s="13"/>
      <c r="N199" s="13"/>
      <c r="O199" s="13"/>
      <c r="P199" s="13"/>
      <c r="Q199">
        <v>9</v>
      </c>
      <c r="R199" t="s">
        <v>23</v>
      </c>
      <c r="S199" t="s">
        <v>18</v>
      </c>
      <c r="T199" t="s">
        <v>63</v>
      </c>
      <c r="U199">
        <v>50037</v>
      </c>
      <c r="V199" t="s">
        <v>27</v>
      </c>
      <c r="W199" s="11">
        <v>33.371847912507278</v>
      </c>
      <c r="X199" s="11">
        <v>-99.2884895842801</v>
      </c>
      <c r="Y199" s="11">
        <v>-390.93915793050121</v>
      </c>
      <c r="Z199" s="13"/>
      <c r="AA199" s="13"/>
      <c r="AB199" s="13"/>
      <c r="AC199" s="13"/>
      <c r="AD199">
        <v>9</v>
      </c>
      <c r="AE199" t="s">
        <v>23</v>
      </c>
      <c r="AF199" t="s">
        <v>68</v>
      </c>
    </row>
    <row r="200" spans="1:32" x14ac:dyDescent="0.3">
      <c r="A200" s="1" t="s">
        <v>109</v>
      </c>
      <c r="B200" s="1">
        <v>4</v>
      </c>
      <c r="C200" s="1" t="s">
        <v>88</v>
      </c>
      <c r="D200" s="8">
        <v>1046.7144000000001</v>
      </c>
      <c r="E200" s="8">
        <v>-510.12889999999999</v>
      </c>
      <c r="F200" s="8">
        <v>-1106.3036999999999</v>
      </c>
      <c r="G200" t="s">
        <v>63</v>
      </c>
      <c r="H200">
        <v>50004</v>
      </c>
      <c r="I200" t="s">
        <v>29</v>
      </c>
      <c r="J200" s="11">
        <v>1046.538607636491</v>
      </c>
      <c r="K200" s="11">
        <v>-510.57429361855628</v>
      </c>
      <c r="L200" s="11">
        <v>-1105.968048088147</v>
      </c>
      <c r="M200" s="13">
        <f t="shared" si="25"/>
        <v>0.17579236350911742</v>
      </c>
      <c r="N200" s="13">
        <f t="shared" si="26"/>
        <v>0.44539361855629522</v>
      </c>
      <c r="O200" s="13">
        <f t="shared" si="27"/>
        <v>-0.33565191185289223</v>
      </c>
      <c r="P200" s="13">
        <f t="shared" si="28"/>
        <v>0.58475690372093425</v>
      </c>
      <c r="Q200">
        <v>9</v>
      </c>
      <c r="R200" t="s">
        <v>23</v>
      </c>
      <c r="S200" t="s">
        <v>18</v>
      </c>
      <c r="T200" t="s">
        <v>63</v>
      </c>
      <c r="U200">
        <v>50004</v>
      </c>
      <c r="V200" t="s">
        <v>29</v>
      </c>
      <c r="W200" s="11">
        <v>1046.5421380772909</v>
      </c>
      <c r="X200" s="11">
        <v>-510.34687065312278</v>
      </c>
      <c r="Y200" s="11">
        <v>-1106.098468191235</v>
      </c>
      <c r="Z200" s="13">
        <f t="shared" si="29"/>
        <v>0.17226192270913998</v>
      </c>
      <c r="AA200" s="13">
        <f t="shared" si="30"/>
        <v>0.21797065312279074</v>
      </c>
      <c r="AB200" s="13">
        <f t="shared" si="31"/>
        <v>-0.20523180876489278</v>
      </c>
      <c r="AC200" s="13">
        <f t="shared" si="32"/>
        <v>0.34540624048666985</v>
      </c>
      <c r="AD200">
        <v>9</v>
      </c>
      <c r="AE200" t="s">
        <v>23</v>
      </c>
      <c r="AF200" t="s">
        <v>68</v>
      </c>
    </row>
    <row r="201" spans="1:32" x14ac:dyDescent="0.3">
      <c r="A201" s="1" t="s">
        <v>109</v>
      </c>
      <c r="B201" s="1">
        <v>42</v>
      </c>
      <c r="C201" s="1" t="s">
        <v>90</v>
      </c>
      <c r="D201" s="8">
        <v>1083.2429999999999</v>
      </c>
      <c r="E201" s="8">
        <v>-95.257900000000006</v>
      </c>
      <c r="F201" s="8">
        <v>-356.68669999999997</v>
      </c>
      <c r="G201" t="s">
        <v>63</v>
      </c>
      <c r="H201">
        <v>50042</v>
      </c>
      <c r="I201" t="s">
        <v>28</v>
      </c>
      <c r="J201" s="11">
        <v>1083.2300920451171</v>
      </c>
      <c r="K201" s="11">
        <v>-95.266920824257525</v>
      </c>
      <c r="L201" s="11">
        <v>-356.66397281104082</v>
      </c>
      <c r="M201" s="13">
        <f t="shared" si="25"/>
        <v>1.2907954882848571E-2</v>
      </c>
      <c r="N201" s="13">
        <f t="shared" si="26"/>
        <v>9.0208242575187114E-3</v>
      </c>
      <c r="O201" s="13">
        <f t="shared" si="27"/>
        <v>-2.2727188959152045E-2</v>
      </c>
      <c r="P201" s="13">
        <f t="shared" si="28"/>
        <v>2.7649876808544645E-2</v>
      </c>
      <c r="Q201">
        <v>9</v>
      </c>
      <c r="R201" t="s">
        <v>23</v>
      </c>
      <c r="S201" t="s">
        <v>18</v>
      </c>
      <c r="T201" t="s">
        <v>63</v>
      </c>
      <c r="U201">
        <v>50042</v>
      </c>
      <c r="V201" t="s">
        <v>28</v>
      </c>
      <c r="W201" s="11">
        <v>1083.2442818449811</v>
      </c>
      <c r="X201" s="11">
        <v>-95.229528783422197</v>
      </c>
      <c r="Y201" s="11">
        <v>-356.68962031567179</v>
      </c>
      <c r="Z201" s="13">
        <f t="shared" si="29"/>
        <v>-1.2818449811220489E-3</v>
      </c>
      <c r="AA201" s="13">
        <f t="shared" si="30"/>
        <v>-2.8371216577809832E-2</v>
      </c>
      <c r="AB201" s="13">
        <f t="shared" si="31"/>
        <v>2.9203156718153878E-3</v>
      </c>
      <c r="AC201" s="13">
        <f t="shared" si="32"/>
        <v>2.8549908936521495E-2</v>
      </c>
      <c r="AD201">
        <v>9</v>
      </c>
      <c r="AE201" t="s">
        <v>23</v>
      </c>
      <c r="AF201" t="s">
        <v>68</v>
      </c>
    </row>
    <row r="202" spans="1:32" x14ac:dyDescent="0.3">
      <c r="A202" s="1" t="s">
        <v>109</v>
      </c>
      <c r="B202" s="1">
        <v>506</v>
      </c>
      <c r="C202" s="1" t="s">
        <v>82</v>
      </c>
      <c r="D202" s="8">
        <v>1148.348</v>
      </c>
      <c r="E202" s="8">
        <v>-21.662800000000001</v>
      </c>
      <c r="F202" s="8">
        <v>-460.65879999999999</v>
      </c>
      <c r="G202" t="s">
        <v>63</v>
      </c>
      <c r="H202">
        <v>50506</v>
      </c>
      <c r="I202" t="s">
        <v>30</v>
      </c>
      <c r="J202" s="11">
        <v>1148.355825367662</v>
      </c>
      <c r="K202" s="11">
        <v>-21.67292224218912</v>
      </c>
      <c r="L202" s="11">
        <v>-460.64260542752243</v>
      </c>
      <c r="M202" s="13">
        <f t="shared" si="25"/>
        <v>-7.8253676620079204E-3</v>
      </c>
      <c r="N202" s="13">
        <f t="shared" si="26"/>
        <v>1.012224218911939E-2</v>
      </c>
      <c r="O202" s="13">
        <f t="shared" si="27"/>
        <v>-1.6194572477559177E-2</v>
      </c>
      <c r="P202" s="13">
        <f t="shared" si="28"/>
        <v>2.0638806741468969E-2</v>
      </c>
      <c r="Q202">
        <v>9</v>
      </c>
      <c r="R202" t="s">
        <v>23</v>
      </c>
      <c r="S202" t="s">
        <v>18</v>
      </c>
      <c r="T202" t="s">
        <v>63</v>
      </c>
      <c r="U202">
        <v>50506</v>
      </c>
      <c r="V202" t="s">
        <v>30</v>
      </c>
      <c r="W202" s="11">
        <v>1148.372368724464</v>
      </c>
      <c r="X202" s="11">
        <v>-21.611215326899249</v>
      </c>
      <c r="Y202" s="11">
        <v>-460.64956467947792</v>
      </c>
      <c r="Z202" s="13">
        <f t="shared" si="29"/>
        <v>-2.4368724464011393E-2</v>
      </c>
      <c r="AA202" s="13">
        <f t="shared" si="30"/>
        <v>-5.1584673100752099E-2</v>
      </c>
      <c r="AB202" s="13">
        <f t="shared" si="31"/>
        <v>-9.2353205220661039E-3</v>
      </c>
      <c r="AC202" s="13">
        <f t="shared" si="32"/>
        <v>5.7793636120767308E-2</v>
      </c>
      <c r="AD202">
        <v>9</v>
      </c>
      <c r="AE202" t="s">
        <v>23</v>
      </c>
      <c r="AF202" t="s">
        <v>68</v>
      </c>
    </row>
    <row r="203" spans="1:32" x14ac:dyDescent="0.3">
      <c r="A203" s="1" t="s">
        <v>109</v>
      </c>
      <c r="B203" s="1">
        <v>507</v>
      </c>
      <c r="C203" s="1" t="s">
        <v>83</v>
      </c>
      <c r="D203" s="8">
        <v>676.33180000000004</v>
      </c>
      <c r="E203" s="8">
        <v>-26.052600000000002</v>
      </c>
      <c r="F203" s="8">
        <v>-1093.8471999999999</v>
      </c>
      <c r="G203" t="s">
        <v>63</v>
      </c>
      <c r="H203">
        <v>50507</v>
      </c>
      <c r="I203" t="s">
        <v>31</v>
      </c>
      <c r="J203" s="11">
        <v>676.35563906631876</v>
      </c>
      <c r="K203" s="11">
        <v>-26.223809041407751</v>
      </c>
      <c r="L203" s="11">
        <v>-1093.8418164696141</v>
      </c>
      <c r="M203" s="13">
        <f t="shared" si="25"/>
        <v>-2.3839066318714686E-2</v>
      </c>
      <c r="N203" s="13">
        <f t="shared" si="26"/>
        <v>0.1712090414077494</v>
      </c>
      <c r="O203" s="13">
        <f t="shared" si="27"/>
        <v>-5.3835303858704719E-3</v>
      </c>
      <c r="P203" s="13">
        <f t="shared" si="28"/>
        <v>0.17294455568801267</v>
      </c>
      <c r="Q203">
        <v>9</v>
      </c>
      <c r="R203" t="s">
        <v>23</v>
      </c>
      <c r="S203" t="s">
        <v>18</v>
      </c>
      <c r="T203" t="s">
        <v>63</v>
      </c>
      <c r="U203">
        <v>50507</v>
      </c>
      <c r="V203" t="s">
        <v>31</v>
      </c>
      <c r="W203" s="11">
        <v>676.37329253678649</v>
      </c>
      <c r="X203" s="11">
        <v>-25.988647147655811</v>
      </c>
      <c r="Y203" s="11">
        <v>-1093.8508261059869</v>
      </c>
      <c r="Z203" s="13">
        <f t="shared" si="29"/>
        <v>-4.1492536786449818E-2</v>
      </c>
      <c r="AA203" s="13">
        <f t="shared" si="30"/>
        <v>-6.3952852344190347E-2</v>
      </c>
      <c r="AB203" s="13">
        <f t="shared" si="31"/>
        <v>3.6261059869957535E-3</v>
      </c>
      <c r="AC203" s="13">
        <f t="shared" si="32"/>
        <v>7.6320027362165116E-2</v>
      </c>
      <c r="AD203">
        <v>9</v>
      </c>
      <c r="AE203" t="s">
        <v>23</v>
      </c>
      <c r="AF203" t="s">
        <v>68</v>
      </c>
    </row>
    <row r="204" spans="1:32" x14ac:dyDescent="0.3">
      <c r="A204" s="1" t="s">
        <v>109</v>
      </c>
      <c r="B204" s="1">
        <v>509</v>
      </c>
      <c r="C204" s="1" t="s">
        <v>97</v>
      </c>
      <c r="D204" s="8">
        <v>488.75970000000001</v>
      </c>
      <c r="E204" s="8">
        <v>-402.10079999999999</v>
      </c>
      <c r="F204" s="8">
        <v>438.94920000000002</v>
      </c>
      <c r="G204" t="s">
        <v>63</v>
      </c>
      <c r="H204">
        <v>50509</v>
      </c>
      <c r="I204" t="s">
        <v>32</v>
      </c>
      <c r="J204" s="11">
        <v>488.77635550362629</v>
      </c>
      <c r="K204" s="11">
        <v>-401.86321745817668</v>
      </c>
      <c r="L204" s="11">
        <v>439.08448567137123</v>
      </c>
      <c r="M204" s="13">
        <f t="shared" si="25"/>
        <v>-1.6655503626282098E-2</v>
      </c>
      <c r="N204" s="13">
        <f t="shared" si="26"/>
        <v>-0.23758254182331484</v>
      </c>
      <c r="O204" s="13">
        <f t="shared" si="27"/>
        <v>-0.13528567137120717</v>
      </c>
      <c r="P204" s="13">
        <f t="shared" si="28"/>
        <v>0.27390706974926826</v>
      </c>
      <c r="Q204">
        <v>9</v>
      </c>
      <c r="R204" t="s">
        <v>23</v>
      </c>
      <c r="S204" t="s">
        <v>18</v>
      </c>
      <c r="T204" t="s">
        <v>63</v>
      </c>
      <c r="U204">
        <v>50509</v>
      </c>
      <c r="V204" t="s">
        <v>32</v>
      </c>
      <c r="W204" s="11">
        <v>488.78002876331539</v>
      </c>
      <c r="X204" s="11">
        <v>-402.00911008869912</v>
      </c>
      <c r="Y204" s="11">
        <v>438.98033857251289</v>
      </c>
      <c r="Z204" s="13">
        <f t="shared" si="29"/>
        <v>-2.0328763315376364E-2</v>
      </c>
      <c r="AA204" s="13">
        <f t="shared" si="30"/>
        <v>-9.1689911300875337E-2</v>
      </c>
      <c r="AB204" s="13">
        <f t="shared" si="31"/>
        <v>-3.1138572512872997E-2</v>
      </c>
      <c r="AC204" s="13">
        <f t="shared" si="32"/>
        <v>9.8943969752756683E-2</v>
      </c>
      <c r="AD204">
        <v>9</v>
      </c>
      <c r="AE204" t="s">
        <v>23</v>
      </c>
      <c r="AF204" t="s">
        <v>68</v>
      </c>
    </row>
    <row r="205" spans="1:32" x14ac:dyDescent="0.3">
      <c r="A205" s="1" t="s">
        <v>109</v>
      </c>
      <c r="B205" s="1">
        <v>57</v>
      </c>
      <c r="C205" s="1" t="s">
        <v>91</v>
      </c>
      <c r="D205" s="8">
        <v>381.7079</v>
      </c>
      <c r="E205" s="8">
        <v>-99.336200000000005</v>
      </c>
      <c r="F205" s="8">
        <v>-132.28960000000001</v>
      </c>
      <c r="G205" t="s">
        <v>63</v>
      </c>
      <c r="H205">
        <v>50057</v>
      </c>
      <c r="I205" t="s">
        <v>33</v>
      </c>
      <c r="J205" s="11">
        <v>381.68371416111</v>
      </c>
      <c r="K205" s="11">
        <v>-99.300599872018068</v>
      </c>
      <c r="L205" s="11">
        <v>-132.27024991369839</v>
      </c>
      <c r="M205" s="13">
        <f t="shared" si="25"/>
        <v>2.4185838889991373E-2</v>
      </c>
      <c r="N205" s="13">
        <f t="shared" si="26"/>
        <v>-3.560012798193668E-2</v>
      </c>
      <c r="O205" s="13">
        <f t="shared" si="27"/>
        <v>-1.9350086301614056E-2</v>
      </c>
      <c r="P205" s="13">
        <f t="shared" si="28"/>
        <v>4.7188449381419625E-2</v>
      </c>
      <c r="Q205">
        <v>9</v>
      </c>
      <c r="R205" t="s">
        <v>23</v>
      </c>
      <c r="S205" t="s">
        <v>18</v>
      </c>
      <c r="T205" t="s">
        <v>63</v>
      </c>
      <c r="U205">
        <v>50057</v>
      </c>
      <c r="V205" t="s">
        <v>33</v>
      </c>
      <c r="W205" s="11">
        <v>381.69734601205602</v>
      </c>
      <c r="X205" s="11">
        <v>-99.299300454316949</v>
      </c>
      <c r="Y205" s="11">
        <v>-132.29829350792741</v>
      </c>
      <c r="Z205" s="13">
        <f t="shared" si="29"/>
        <v>1.0553987943978882E-2</v>
      </c>
      <c r="AA205" s="13">
        <f t="shared" si="30"/>
        <v>-3.689954568305609E-2</v>
      </c>
      <c r="AB205" s="13">
        <f t="shared" si="31"/>
        <v>8.6935079274041982E-3</v>
      </c>
      <c r="AC205" s="13">
        <f t="shared" si="32"/>
        <v>3.9351495692304179E-2</v>
      </c>
      <c r="AD205">
        <v>9</v>
      </c>
      <c r="AE205" t="s">
        <v>23</v>
      </c>
      <c r="AF205" t="s">
        <v>68</v>
      </c>
    </row>
    <row r="206" spans="1:32" x14ac:dyDescent="0.3">
      <c r="A206" s="1" t="s">
        <v>109</v>
      </c>
      <c r="B206" s="1">
        <v>87</v>
      </c>
      <c r="C206" s="1" t="s">
        <v>86</v>
      </c>
      <c r="D206" s="8">
        <v>1199.7543000000001</v>
      </c>
      <c r="E206" s="8">
        <v>-628.63059999999996</v>
      </c>
      <c r="F206" s="8">
        <v>-976.48429999999996</v>
      </c>
      <c r="G206" t="s">
        <v>63</v>
      </c>
      <c r="H206">
        <v>50087</v>
      </c>
      <c r="I206" t="s">
        <v>34</v>
      </c>
      <c r="J206" s="11">
        <v>1199.637992734617</v>
      </c>
      <c r="K206" s="11">
        <v>-628.93396109154094</v>
      </c>
      <c r="L206" s="11">
        <v>-976.23269259582071</v>
      </c>
      <c r="M206" s="13">
        <f t="shared" si="25"/>
        <v>0.1163072653830568</v>
      </c>
      <c r="N206" s="13">
        <f t="shared" si="26"/>
        <v>0.30336109154097812</v>
      </c>
      <c r="O206" s="13">
        <f t="shared" si="27"/>
        <v>-0.25160740417925354</v>
      </c>
      <c r="P206" s="13">
        <f t="shared" si="28"/>
        <v>0.41092775238433427</v>
      </c>
      <c r="Q206">
        <v>9</v>
      </c>
      <c r="R206" t="s">
        <v>23</v>
      </c>
      <c r="S206" t="s">
        <v>18</v>
      </c>
      <c r="T206" t="s">
        <v>63</v>
      </c>
      <c r="U206">
        <v>50087</v>
      </c>
      <c r="V206" t="s">
        <v>34</v>
      </c>
      <c r="W206" s="11">
        <v>1199.63781147639</v>
      </c>
      <c r="X206" s="11">
        <v>-628.74372034003886</v>
      </c>
      <c r="Y206" s="11">
        <v>-976.39266324346124</v>
      </c>
      <c r="Z206" s="13">
        <f t="shared" si="29"/>
        <v>0.11648852361008721</v>
      </c>
      <c r="AA206" s="13">
        <f t="shared" si="30"/>
        <v>0.11312034003890403</v>
      </c>
      <c r="AB206" s="13">
        <f t="shared" si="31"/>
        <v>-9.1636756538719055E-2</v>
      </c>
      <c r="AC206" s="13">
        <f t="shared" si="32"/>
        <v>0.18644860582024095</v>
      </c>
      <c r="AD206">
        <v>9</v>
      </c>
      <c r="AE206" t="s">
        <v>23</v>
      </c>
      <c r="AF206" t="s">
        <v>68</v>
      </c>
    </row>
    <row r="207" spans="1:32" x14ac:dyDescent="0.3">
      <c r="A207" s="1" t="s">
        <v>109</v>
      </c>
      <c r="B207" s="1">
        <v>92</v>
      </c>
      <c r="C207" s="1" t="s">
        <v>92</v>
      </c>
      <c r="D207" s="8">
        <v>532.5521</v>
      </c>
      <c r="E207" s="8">
        <v>-93.484399999999994</v>
      </c>
      <c r="F207" s="8">
        <v>-862.41219999999998</v>
      </c>
      <c r="G207" t="s">
        <v>63</v>
      </c>
      <c r="H207">
        <v>50092</v>
      </c>
      <c r="I207" t="s">
        <v>35</v>
      </c>
      <c r="J207" s="11">
        <v>532.54720230631915</v>
      </c>
      <c r="K207" s="11">
        <v>-93.723179282074469</v>
      </c>
      <c r="L207" s="11">
        <v>-862.38896805564752</v>
      </c>
      <c r="M207" s="13">
        <f t="shared" si="25"/>
        <v>4.8976936808458049E-3</v>
      </c>
      <c r="N207" s="13">
        <f t="shared" si="26"/>
        <v>0.23877928207447496</v>
      </c>
      <c r="O207" s="13">
        <f t="shared" si="27"/>
        <v>-2.3231944352460232E-2</v>
      </c>
      <c r="P207" s="13">
        <f t="shared" si="28"/>
        <v>0.23995677983709668</v>
      </c>
      <c r="Q207">
        <v>9</v>
      </c>
      <c r="R207" t="s">
        <v>23</v>
      </c>
      <c r="S207" t="s">
        <v>18</v>
      </c>
      <c r="T207" t="s">
        <v>63</v>
      </c>
      <c r="U207">
        <v>50092</v>
      </c>
      <c r="V207" t="s">
        <v>35</v>
      </c>
      <c r="W207" s="11">
        <v>532.56243005849319</v>
      </c>
      <c r="X207" s="11">
        <v>-93.542178421059049</v>
      </c>
      <c r="Y207" s="11">
        <v>-862.4152870223744</v>
      </c>
      <c r="Z207" s="13">
        <f t="shared" si="29"/>
        <v>-1.0330058493195793E-2</v>
      </c>
      <c r="AA207" s="13">
        <f t="shared" si="30"/>
        <v>5.7778421059055063E-2</v>
      </c>
      <c r="AB207" s="13">
        <f t="shared" si="31"/>
        <v>3.0870223744159375E-3</v>
      </c>
      <c r="AC207" s="13">
        <f t="shared" si="32"/>
        <v>5.8775724203879005E-2</v>
      </c>
      <c r="AD207">
        <v>9</v>
      </c>
      <c r="AE207" t="s">
        <v>23</v>
      </c>
      <c r="AF207" t="s">
        <v>68</v>
      </c>
    </row>
    <row r="208" spans="1:32" x14ac:dyDescent="0.3">
      <c r="A208" s="1" t="s">
        <v>109</v>
      </c>
      <c r="B208" s="1">
        <v>96</v>
      </c>
      <c r="C208" s="1" t="s">
        <v>84</v>
      </c>
      <c r="D208" s="8">
        <v>424.54140000000001</v>
      </c>
      <c r="E208" s="8">
        <v>2.7151999999999998</v>
      </c>
      <c r="F208" s="8">
        <v>304.00139999999999</v>
      </c>
      <c r="G208" t="s">
        <v>63</v>
      </c>
      <c r="H208">
        <v>50096</v>
      </c>
      <c r="I208" t="s">
        <v>36</v>
      </c>
      <c r="J208" s="11">
        <v>424.53339144447938</v>
      </c>
      <c r="K208" s="11">
        <v>2.770411871636115</v>
      </c>
      <c r="L208" s="11">
        <v>304.00214565044661</v>
      </c>
      <c r="M208" s="13">
        <f t="shared" si="25"/>
        <v>8.0085555206323988E-3</v>
      </c>
      <c r="N208" s="13">
        <f t="shared" si="26"/>
        <v>-5.5211871636115184E-2</v>
      </c>
      <c r="O208" s="13">
        <f t="shared" si="27"/>
        <v>-7.4565044661767388E-4</v>
      </c>
      <c r="P208" s="13">
        <f t="shared" si="28"/>
        <v>5.5794656784305549E-2</v>
      </c>
      <c r="Q208">
        <v>9</v>
      </c>
      <c r="R208" t="s">
        <v>23</v>
      </c>
      <c r="S208" t="s">
        <v>18</v>
      </c>
      <c r="T208" t="s">
        <v>63</v>
      </c>
      <c r="U208">
        <v>50096</v>
      </c>
      <c r="V208" t="s">
        <v>36</v>
      </c>
      <c r="W208" s="11">
        <v>424.54914821002689</v>
      </c>
      <c r="X208" s="11">
        <v>2.6604452178821121</v>
      </c>
      <c r="Y208" s="11">
        <v>303.99991038911622</v>
      </c>
      <c r="Z208" s="13">
        <f t="shared" si="29"/>
        <v>-7.7482100268753129E-3</v>
      </c>
      <c r="AA208" s="13">
        <f t="shared" si="30"/>
        <v>5.4754782117887757E-2</v>
      </c>
      <c r="AB208" s="13">
        <f t="shared" si="31"/>
        <v>1.4896108837660904E-3</v>
      </c>
      <c r="AC208" s="13">
        <f t="shared" si="32"/>
        <v>5.5320338610523399E-2</v>
      </c>
      <c r="AD208">
        <v>9</v>
      </c>
      <c r="AE208" t="s">
        <v>23</v>
      </c>
      <c r="AF208" t="s">
        <v>68</v>
      </c>
    </row>
    <row r="209" spans="1:32" x14ac:dyDescent="0.3">
      <c r="A209" s="1" t="s">
        <v>100</v>
      </c>
      <c r="B209" s="1">
        <v>1010</v>
      </c>
      <c r="C209" s="1" t="s">
        <v>75</v>
      </c>
      <c r="D209" s="8">
        <v>575.43460000000005</v>
      </c>
      <c r="E209" s="8">
        <v>-53.204999999999998</v>
      </c>
      <c r="F209" s="8">
        <v>348.20100000000002</v>
      </c>
      <c r="G209" t="s">
        <v>64</v>
      </c>
      <c r="H209">
        <v>51008</v>
      </c>
      <c r="I209" t="s">
        <v>16</v>
      </c>
      <c r="J209" s="11">
        <v>575.42184519976126</v>
      </c>
      <c r="K209" s="11">
        <v>-53.151488282530082</v>
      </c>
      <c r="L209" s="11">
        <v>348.18971387478081</v>
      </c>
      <c r="M209" s="13">
        <f t="shared" si="25"/>
        <v>1.2754800238781172E-2</v>
      </c>
      <c r="N209" s="13">
        <f t="shared" si="26"/>
        <v>-5.3511717469916675E-2</v>
      </c>
      <c r="O209" s="13">
        <f t="shared" si="27"/>
        <v>1.1286125219214682E-2</v>
      </c>
      <c r="P209" s="13">
        <f t="shared" si="28"/>
        <v>5.6156615444444224E-2</v>
      </c>
      <c r="Q209">
        <v>10</v>
      </c>
      <c r="R209" t="s">
        <v>17</v>
      </c>
      <c r="S209" t="s">
        <v>18</v>
      </c>
      <c r="T209" t="s">
        <v>64</v>
      </c>
      <c r="U209">
        <v>1010</v>
      </c>
      <c r="V209" s="6" t="s">
        <v>42</v>
      </c>
      <c r="W209" s="11">
        <v>575.43460000000005</v>
      </c>
      <c r="X209" s="11">
        <v>-53.204999999999998</v>
      </c>
      <c r="Y209" s="11">
        <v>348.20100000000002</v>
      </c>
      <c r="Z209" s="13"/>
      <c r="AA209" s="13"/>
      <c r="AB209" s="13"/>
      <c r="AC209" s="13"/>
      <c r="AD209">
        <v>10</v>
      </c>
      <c r="AE209" t="s">
        <v>17</v>
      </c>
    </row>
    <row r="210" spans="1:32" x14ac:dyDescent="0.3">
      <c r="A210" s="1" t="s">
        <v>100</v>
      </c>
      <c r="B210" s="1">
        <v>1008</v>
      </c>
      <c r="C210" s="1" t="s">
        <v>76</v>
      </c>
      <c r="D210" s="8">
        <v>1296.2637</v>
      </c>
      <c r="E210" s="8">
        <v>-49.858600000000003</v>
      </c>
      <c r="F210" s="8">
        <v>-488.77679999999998</v>
      </c>
      <c r="G210" t="s">
        <v>64</v>
      </c>
      <c r="H210">
        <v>51011</v>
      </c>
      <c r="I210" t="s">
        <v>19</v>
      </c>
      <c r="J210" s="11">
        <v>1296.2493571890329</v>
      </c>
      <c r="K210" s="11">
        <v>-49.766368464397033</v>
      </c>
      <c r="L210" s="11">
        <v>-488.73575448267229</v>
      </c>
      <c r="M210" s="13">
        <f t="shared" si="25"/>
        <v>1.4342810967036712E-2</v>
      </c>
      <c r="N210" s="13">
        <f t="shared" si="26"/>
        <v>-9.2231535602969927E-2</v>
      </c>
      <c r="O210" s="13">
        <f t="shared" si="27"/>
        <v>-4.1045517327688685E-2</v>
      </c>
      <c r="P210" s="13">
        <f t="shared" si="28"/>
        <v>0.10196620459159815</v>
      </c>
      <c r="Q210">
        <v>10</v>
      </c>
      <c r="R210" t="s">
        <v>17</v>
      </c>
      <c r="S210" t="s">
        <v>18</v>
      </c>
      <c r="T210" t="s">
        <v>64</v>
      </c>
      <c r="U210">
        <v>1008</v>
      </c>
      <c r="V210" s="6" t="s">
        <v>43</v>
      </c>
      <c r="W210" s="11">
        <v>1296.2637</v>
      </c>
      <c r="X210" s="11">
        <v>-49.858600000000003</v>
      </c>
      <c r="Y210" s="11">
        <v>-488.77679999999998</v>
      </c>
      <c r="Z210" s="13"/>
      <c r="AA210" s="13"/>
      <c r="AB210" s="13"/>
      <c r="AC210" s="13"/>
      <c r="AD210">
        <v>10</v>
      </c>
      <c r="AE210" t="s">
        <v>17</v>
      </c>
    </row>
    <row r="211" spans="1:32" x14ac:dyDescent="0.3">
      <c r="A211" s="1" t="s">
        <v>100</v>
      </c>
      <c r="B211" s="1">
        <v>1018</v>
      </c>
      <c r="C211" s="1" t="s">
        <v>77</v>
      </c>
      <c r="D211" s="8">
        <v>603.95330000000001</v>
      </c>
      <c r="E211" s="8">
        <v>-47.664400000000001</v>
      </c>
      <c r="F211" s="8">
        <v>-1114.1817000000001</v>
      </c>
      <c r="G211" t="s">
        <v>64</v>
      </c>
      <c r="H211">
        <v>51024</v>
      </c>
      <c r="I211" t="s">
        <v>20</v>
      </c>
      <c r="J211" s="11">
        <v>603.95964050927887</v>
      </c>
      <c r="K211" s="11">
        <v>-47.76271034673622</v>
      </c>
      <c r="L211" s="11">
        <v>-1114.1512264435701</v>
      </c>
      <c r="M211" s="13">
        <f t="shared" si="25"/>
        <v>-6.3405092788570983E-3</v>
      </c>
      <c r="N211" s="13">
        <f t="shared" si="26"/>
        <v>9.8310346736219856E-2</v>
      </c>
      <c r="O211" s="13">
        <f t="shared" si="27"/>
        <v>-3.0473556430024473E-2</v>
      </c>
      <c r="P211" s="13">
        <f t="shared" si="28"/>
        <v>0.10312014339984663</v>
      </c>
      <c r="Q211">
        <v>10</v>
      </c>
      <c r="R211" t="s">
        <v>17</v>
      </c>
      <c r="S211" t="s">
        <v>18</v>
      </c>
      <c r="T211" t="s">
        <v>64</v>
      </c>
      <c r="U211">
        <v>1018</v>
      </c>
      <c r="V211" s="6" t="s">
        <v>44</v>
      </c>
      <c r="W211" s="11">
        <v>603.95330000000001</v>
      </c>
      <c r="X211" s="11">
        <v>-47.664400000000001</v>
      </c>
      <c r="Y211" s="11">
        <v>-1114.1817000000001</v>
      </c>
      <c r="Z211" s="13"/>
      <c r="AA211" s="13"/>
      <c r="AB211" s="13"/>
      <c r="AC211" s="13"/>
      <c r="AD211">
        <v>10</v>
      </c>
      <c r="AE211" t="s">
        <v>17</v>
      </c>
    </row>
    <row r="212" spans="1:32" x14ac:dyDescent="0.3">
      <c r="A212" s="1" t="s">
        <v>100</v>
      </c>
      <c r="B212" s="1">
        <v>1001</v>
      </c>
      <c r="C212" s="1" t="s">
        <v>78</v>
      </c>
      <c r="D212" s="8">
        <v>-116.047</v>
      </c>
      <c r="E212" s="8">
        <v>-50.867899999999999</v>
      </c>
      <c r="F212" s="8">
        <v>-282.0419</v>
      </c>
      <c r="G212" t="s">
        <v>64</v>
      </c>
      <c r="H212">
        <v>51003</v>
      </c>
      <c r="I212" t="s">
        <v>21</v>
      </c>
      <c r="J212" s="11">
        <v>-116.06428571392669</v>
      </c>
      <c r="K212" s="11">
        <v>-50.846491897412108</v>
      </c>
      <c r="L212" s="11">
        <v>-282.05561850906332</v>
      </c>
      <c r="M212" s="13">
        <f t="shared" si="25"/>
        <v>1.7285713926696644E-2</v>
      </c>
      <c r="N212" s="13">
        <f t="shared" si="26"/>
        <v>-2.1408102587891165E-2</v>
      </c>
      <c r="O212" s="13">
        <f t="shared" si="27"/>
        <v>1.3718509063323836E-2</v>
      </c>
      <c r="P212" s="13">
        <f t="shared" si="28"/>
        <v>3.0745735530147346E-2</v>
      </c>
      <c r="Q212">
        <v>10</v>
      </c>
      <c r="R212" t="s">
        <v>17</v>
      </c>
      <c r="S212" t="s">
        <v>18</v>
      </c>
      <c r="T212" t="s">
        <v>64</v>
      </c>
      <c r="U212">
        <v>1001</v>
      </c>
      <c r="V212" s="6" t="s">
        <v>45</v>
      </c>
      <c r="W212" s="11">
        <v>-116.047</v>
      </c>
      <c r="X212" s="11">
        <v>-50.867899999999999</v>
      </c>
      <c r="Y212" s="11">
        <v>-282.0419</v>
      </c>
      <c r="Z212" s="13"/>
      <c r="AA212" s="13"/>
      <c r="AB212" s="13"/>
      <c r="AC212" s="13"/>
      <c r="AD212">
        <v>10</v>
      </c>
      <c r="AE212" t="s">
        <v>17</v>
      </c>
    </row>
    <row r="213" spans="1:32" x14ac:dyDescent="0.3">
      <c r="A213" s="1" t="s">
        <v>100</v>
      </c>
      <c r="B213" s="1">
        <v>501</v>
      </c>
      <c r="C213" s="1" t="s">
        <v>94</v>
      </c>
      <c r="D213" s="8">
        <v>-0.26750000000000002</v>
      </c>
      <c r="E213" s="8">
        <v>0.71179999999999999</v>
      </c>
      <c r="F213" s="8">
        <v>0.73799999999999999</v>
      </c>
      <c r="G213" t="s">
        <v>64</v>
      </c>
      <c r="H213">
        <v>501</v>
      </c>
      <c r="I213" s="5" t="s">
        <v>10</v>
      </c>
      <c r="J213" s="11">
        <v>-0.26750000000000002</v>
      </c>
      <c r="K213" s="11">
        <v>0.71179999999999999</v>
      </c>
      <c r="L213" s="11">
        <v>0.73799999999999999</v>
      </c>
      <c r="M213" s="13"/>
      <c r="N213" s="13"/>
      <c r="O213" s="13"/>
      <c r="P213" s="13"/>
      <c r="Q213">
        <v>10</v>
      </c>
      <c r="R213" t="s">
        <v>11</v>
      </c>
      <c r="T213" t="s">
        <v>64</v>
      </c>
      <c r="U213">
        <v>50501</v>
      </c>
      <c r="V213" t="s">
        <v>67</v>
      </c>
      <c r="W213" s="11">
        <v>-0.2380685630791575</v>
      </c>
      <c r="X213" s="11">
        <v>0.66028402191240543</v>
      </c>
      <c r="Y213" s="11">
        <v>0.74266305182543446</v>
      </c>
      <c r="Z213" s="13">
        <f t="shared" si="29"/>
        <v>-2.9431436920842519E-2</v>
      </c>
      <c r="AA213" s="13">
        <f t="shared" si="30"/>
        <v>5.1515978087594561E-2</v>
      </c>
      <c r="AB213" s="13">
        <f t="shared" si="31"/>
        <v>-4.6630518254344722E-3</v>
      </c>
      <c r="AC213" s="13">
        <f t="shared" si="32"/>
        <v>5.9513439909601451E-2</v>
      </c>
      <c r="AD213">
        <v>10</v>
      </c>
      <c r="AE213" t="s">
        <v>11</v>
      </c>
      <c r="AF213" t="s">
        <v>68</v>
      </c>
    </row>
    <row r="214" spans="1:32" x14ac:dyDescent="0.3">
      <c r="A214" s="1" t="s">
        <v>100</v>
      </c>
      <c r="B214" s="1">
        <v>502</v>
      </c>
      <c r="C214" s="1" t="s">
        <v>85</v>
      </c>
      <c r="D214" s="8">
        <v>171.83160000000001</v>
      </c>
      <c r="E214" s="8">
        <v>0.25829999999999997</v>
      </c>
      <c r="F214" s="8">
        <v>-174.59190000000001</v>
      </c>
      <c r="G214" t="s">
        <v>64</v>
      </c>
      <c r="H214">
        <v>502</v>
      </c>
      <c r="I214" s="5" t="s">
        <v>12</v>
      </c>
      <c r="J214" s="11">
        <v>171.83160000000001</v>
      </c>
      <c r="K214" s="11">
        <v>0.25829999999999997</v>
      </c>
      <c r="L214" s="11">
        <v>-174.59190000000001</v>
      </c>
      <c r="M214" s="13"/>
      <c r="N214" s="13"/>
      <c r="O214" s="13"/>
      <c r="P214" s="13"/>
      <c r="Q214">
        <v>10</v>
      </c>
      <c r="R214" t="s">
        <v>11</v>
      </c>
      <c r="T214" t="s">
        <v>64</v>
      </c>
      <c r="U214">
        <v>50502</v>
      </c>
      <c r="V214" t="s">
        <v>69</v>
      </c>
      <c r="W214" s="11">
        <v>171.84526417760739</v>
      </c>
      <c r="X214" s="11">
        <v>0.25964599948101802</v>
      </c>
      <c r="Y214" s="11">
        <v>-174.58478881482631</v>
      </c>
      <c r="Z214" s="13">
        <f t="shared" si="29"/>
        <v>-1.3664177607381589E-2</v>
      </c>
      <c r="AA214" s="13">
        <f t="shared" si="30"/>
        <v>-1.3459994810180453E-3</v>
      </c>
      <c r="AB214" s="13">
        <f t="shared" si="31"/>
        <v>-7.1111851736986864E-3</v>
      </c>
      <c r="AC214" s="13">
        <f t="shared" si="32"/>
        <v>1.5462548912246044E-2</v>
      </c>
      <c r="AD214">
        <v>10</v>
      </c>
      <c r="AE214" t="s">
        <v>11</v>
      </c>
      <c r="AF214" t="s">
        <v>68</v>
      </c>
    </row>
    <row r="215" spans="1:32" x14ac:dyDescent="0.3">
      <c r="A215" s="1" t="s">
        <v>100</v>
      </c>
      <c r="B215" s="1">
        <v>503</v>
      </c>
      <c r="C215" s="1" t="s">
        <v>95</v>
      </c>
      <c r="D215" s="8">
        <v>170.4425</v>
      </c>
      <c r="E215" s="8">
        <v>-0.2286</v>
      </c>
      <c r="F215" s="8">
        <v>-0.28970000000000001</v>
      </c>
      <c r="G215" t="s">
        <v>64</v>
      </c>
      <c r="H215">
        <v>503</v>
      </c>
      <c r="I215" s="5" t="s">
        <v>13</v>
      </c>
      <c r="J215" s="11">
        <v>170.4425</v>
      </c>
      <c r="K215" s="11">
        <v>-0.2286</v>
      </c>
      <c r="L215" s="11">
        <v>-0.28970000000000001</v>
      </c>
      <c r="M215" s="13"/>
      <c r="N215" s="13"/>
      <c r="O215" s="13"/>
      <c r="P215" s="13"/>
      <c r="Q215">
        <v>10</v>
      </c>
      <c r="R215" t="s">
        <v>11</v>
      </c>
      <c r="T215" t="s">
        <v>64</v>
      </c>
      <c r="U215">
        <v>50503</v>
      </c>
      <c r="V215" t="s">
        <v>70</v>
      </c>
      <c r="W215" s="11">
        <v>170.46827012124939</v>
      </c>
      <c r="X215" s="11">
        <v>-0.2205803205914342</v>
      </c>
      <c r="Y215" s="11">
        <v>-0.28140514970564823</v>
      </c>
      <c r="Z215" s="13">
        <f t="shared" si="29"/>
        <v>-2.5770121249394151E-2</v>
      </c>
      <c r="AA215" s="13">
        <f t="shared" si="30"/>
        <v>-8.0196794085657941E-3</v>
      </c>
      <c r="AB215" s="13">
        <f t="shared" si="31"/>
        <v>-8.2948502943517854E-3</v>
      </c>
      <c r="AC215" s="13">
        <f t="shared" si="32"/>
        <v>2.8235065936355774E-2</v>
      </c>
      <c r="AD215">
        <v>10</v>
      </c>
      <c r="AE215" t="s">
        <v>11</v>
      </c>
      <c r="AF215" t="s">
        <v>68</v>
      </c>
    </row>
    <row r="216" spans="1:32" x14ac:dyDescent="0.3">
      <c r="A216" s="1" t="s">
        <v>100</v>
      </c>
      <c r="B216" s="1">
        <v>504</v>
      </c>
      <c r="C216" s="1" t="s">
        <v>87</v>
      </c>
      <c r="D216" s="8">
        <v>346.20569999999998</v>
      </c>
      <c r="E216" s="8">
        <v>4.5499999999999999E-2</v>
      </c>
      <c r="F216" s="8">
        <v>0.66049999999999998</v>
      </c>
      <c r="G216" t="s">
        <v>64</v>
      </c>
      <c r="H216">
        <v>504</v>
      </c>
      <c r="I216" s="5" t="s">
        <v>14</v>
      </c>
      <c r="J216" s="11">
        <v>346.20569999999998</v>
      </c>
      <c r="K216" s="11">
        <v>4.5499999999999999E-2</v>
      </c>
      <c r="L216" s="11">
        <v>0.66049999999999998</v>
      </c>
      <c r="M216" s="13"/>
      <c r="N216" s="13"/>
      <c r="O216" s="13"/>
      <c r="P216" s="13"/>
      <c r="Q216">
        <v>10</v>
      </c>
      <c r="R216" t="s">
        <v>11</v>
      </c>
      <c r="T216" t="s">
        <v>64</v>
      </c>
      <c r="U216">
        <v>50504</v>
      </c>
      <c r="V216" t="s">
        <v>71</v>
      </c>
      <c r="W216" s="11">
        <v>346.22379422210918</v>
      </c>
      <c r="X216" s="11">
        <v>-2.7816958571188159E-2</v>
      </c>
      <c r="Y216" s="11">
        <v>0.66030464018759283</v>
      </c>
      <c r="Z216" s="13">
        <f t="shared" si="29"/>
        <v>-1.8094222109198199E-2</v>
      </c>
      <c r="AA216" s="13">
        <f t="shared" si="30"/>
        <v>7.3316958571188154E-2</v>
      </c>
      <c r="AB216" s="13">
        <f t="shared" si="31"/>
        <v>1.9535981240714761E-4</v>
      </c>
      <c r="AC216" s="13">
        <f t="shared" si="32"/>
        <v>7.551698784593186E-2</v>
      </c>
      <c r="AD216">
        <v>10</v>
      </c>
      <c r="AE216" t="s">
        <v>11</v>
      </c>
      <c r="AF216" t="s">
        <v>68</v>
      </c>
    </row>
    <row r="217" spans="1:32" x14ac:dyDescent="0.3">
      <c r="A217" s="1" t="s">
        <v>100</v>
      </c>
      <c r="B217" s="1">
        <v>505</v>
      </c>
      <c r="C217" s="1" t="s">
        <v>96</v>
      </c>
      <c r="D217" s="8">
        <v>169.6678</v>
      </c>
      <c r="E217" s="8">
        <v>0.52180000000000004</v>
      </c>
      <c r="F217" s="8">
        <v>175.834</v>
      </c>
      <c r="G217" t="s">
        <v>64</v>
      </c>
      <c r="H217">
        <v>505</v>
      </c>
      <c r="I217" s="5" t="s">
        <v>15</v>
      </c>
      <c r="J217" s="11">
        <v>169.6678</v>
      </c>
      <c r="K217" s="11">
        <v>0.52180000000000004</v>
      </c>
      <c r="L217" s="11">
        <v>175.834</v>
      </c>
      <c r="M217" s="13"/>
      <c r="N217" s="13"/>
      <c r="O217" s="13"/>
      <c r="P217" s="13"/>
      <c r="Q217">
        <v>10</v>
      </c>
      <c r="R217" t="s">
        <v>11</v>
      </c>
      <c r="T217" t="s">
        <v>64</v>
      </c>
      <c r="U217">
        <v>50505</v>
      </c>
      <c r="V217" t="s">
        <v>72</v>
      </c>
      <c r="W217" s="11">
        <v>169.6945981912815</v>
      </c>
      <c r="X217" s="11">
        <v>0.4867596925329708</v>
      </c>
      <c r="Y217" s="11">
        <v>175.83646300310451</v>
      </c>
      <c r="Z217" s="13">
        <f t="shared" si="29"/>
        <v>-2.6798191281500294E-2</v>
      </c>
      <c r="AA217" s="13">
        <f t="shared" si="30"/>
        <v>3.5040307467029241E-2</v>
      </c>
      <c r="AB217" s="13">
        <f t="shared" si="31"/>
        <v>-2.4630031045091982E-3</v>
      </c>
      <c r="AC217" s="13">
        <f t="shared" si="32"/>
        <v>4.4181812860459281E-2</v>
      </c>
      <c r="AD217">
        <v>10</v>
      </c>
      <c r="AE217" t="s">
        <v>11</v>
      </c>
      <c r="AF217" t="s">
        <v>68</v>
      </c>
    </row>
    <row r="218" spans="1:32" x14ac:dyDescent="0.3">
      <c r="A218" s="5"/>
      <c r="B218" s="5"/>
      <c r="C218" s="5"/>
      <c r="D218" s="9"/>
      <c r="E218" s="9"/>
      <c r="F218" s="9"/>
      <c r="G218" t="s">
        <v>64</v>
      </c>
      <c r="H218">
        <v>50116</v>
      </c>
      <c r="I218" t="s">
        <v>22</v>
      </c>
      <c r="J218" s="11">
        <v>1009.918977013034</v>
      </c>
      <c r="K218" s="11">
        <v>-628.65139022704966</v>
      </c>
      <c r="L218" s="11">
        <v>-1134.001048709451</v>
      </c>
      <c r="M218" s="13"/>
      <c r="N218" s="13"/>
      <c r="O218" s="13"/>
      <c r="P218" s="13"/>
      <c r="Q218">
        <v>10</v>
      </c>
      <c r="R218" t="s">
        <v>23</v>
      </c>
      <c r="S218" t="s">
        <v>18</v>
      </c>
      <c r="T218" t="s">
        <v>64</v>
      </c>
      <c r="U218">
        <v>50116</v>
      </c>
      <c r="V218" t="s">
        <v>22</v>
      </c>
      <c r="W218" s="11">
        <v>1009.871234838535</v>
      </c>
      <c r="X218" s="11">
        <v>-628.61754367479716</v>
      </c>
      <c r="Y218" s="11">
        <v>-1134.0841176537169</v>
      </c>
      <c r="Z218" s="13"/>
      <c r="AA218" s="13"/>
      <c r="AB218" s="13"/>
      <c r="AC218" s="13"/>
      <c r="AD218">
        <v>10</v>
      </c>
      <c r="AE218" t="s">
        <v>23</v>
      </c>
      <c r="AF218" t="s">
        <v>68</v>
      </c>
    </row>
    <row r="219" spans="1:32" x14ac:dyDescent="0.3">
      <c r="A219" s="1" t="s">
        <v>100</v>
      </c>
      <c r="B219" s="1">
        <v>121</v>
      </c>
      <c r="C219" s="1" t="s">
        <v>93</v>
      </c>
      <c r="D219" s="8">
        <v>634.92380000000003</v>
      </c>
      <c r="E219" s="8">
        <v>-100.38120000000001</v>
      </c>
      <c r="F219" s="8">
        <v>96.922799999999995</v>
      </c>
      <c r="G219" t="s">
        <v>64</v>
      </c>
      <c r="H219">
        <v>50121</v>
      </c>
      <c r="I219" t="s">
        <v>24</v>
      </c>
      <c r="J219" s="11">
        <v>634.90157286351416</v>
      </c>
      <c r="K219" s="11">
        <v>-100.2875578052558</v>
      </c>
      <c r="L219" s="11">
        <v>96.937680814081915</v>
      </c>
      <c r="M219" s="13">
        <f t="shared" si="25"/>
        <v>2.2227136485867049E-2</v>
      </c>
      <c r="N219" s="13">
        <f t="shared" si="26"/>
        <v>-9.3642194744205653E-2</v>
      </c>
      <c r="O219" s="13">
        <f t="shared" si="27"/>
        <v>-1.488081408191988E-2</v>
      </c>
      <c r="P219" s="13">
        <f t="shared" si="28"/>
        <v>9.7387601164695303E-2</v>
      </c>
      <c r="Q219">
        <v>10</v>
      </c>
      <c r="R219" t="s">
        <v>23</v>
      </c>
      <c r="S219" t="s">
        <v>18</v>
      </c>
      <c r="T219" t="s">
        <v>64</v>
      </c>
      <c r="U219">
        <v>50121</v>
      </c>
      <c r="V219" t="s">
        <v>24</v>
      </c>
      <c r="W219" s="11">
        <v>634.92021810752226</v>
      </c>
      <c r="X219" s="11">
        <v>-100.3581481036771</v>
      </c>
      <c r="Y219" s="11">
        <v>96.919657608858799</v>
      </c>
      <c r="Z219" s="13">
        <f t="shared" si="29"/>
        <v>3.5818924777686334E-3</v>
      </c>
      <c r="AA219" s="13">
        <f t="shared" si="30"/>
        <v>-2.3051896322911603E-2</v>
      </c>
      <c r="AB219" s="13">
        <f t="shared" si="31"/>
        <v>3.142391141196299E-3</v>
      </c>
      <c r="AC219" s="13">
        <f t="shared" si="32"/>
        <v>2.3539211964057546E-2</v>
      </c>
      <c r="AD219">
        <v>10</v>
      </c>
      <c r="AE219" t="s">
        <v>23</v>
      </c>
      <c r="AF219" t="s">
        <v>68</v>
      </c>
    </row>
    <row r="220" spans="1:32" x14ac:dyDescent="0.3">
      <c r="A220" s="1" t="s">
        <v>100</v>
      </c>
      <c r="B220" s="1">
        <v>13</v>
      </c>
      <c r="C220" s="1" t="s">
        <v>80</v>
      </c>
      <c r="D220" s="8">
        <v>279.62630000000001</v>
      </c>
      <c r="E220" s="8">
        <v>3.5949</v>
      </c>
      <c r="F220" s="8">
        <v>201.5102</v>
      </c>
      <c r="G220" t="s">
        <v>64</v>
      </c>
      <c r="H220">
        <v>50013</v>
      </c>
      <c r="I220" t="s">
        <v>25</v>
      </c>
      <c r="J220" s="11">
        <v>279.62902211582087</v>
      </c>
      <c r="K220" s="11">
        <v>3.5829134920577048</v>
      </c>
      <c r="L220" s="11">
        <v>201.51190125660619</v>
      </c>
      <c r="M220" s="13">
        <f t="shared" si="25"/>
        <v>-2.7221158208590168E-3</v>
      </c>
      <c r="N220" s="13">
        <f t="shared" si="26"/>
        <v>1.1986507942295166E-2</v>
      </c>
      <c r="O220" s="13">
        <f t="shared" si="27"/>
        <v>-1.7012566061964662E-3</v>
      </c>
      <c r="P220" s="13">
        <f t="shared" si="28"/>
        <v>1.2408890411032051E-2</v>
      </c>
      <c r="Q220">
        <v>10</v>
      </c>
      <c r="R220" t="s">
        <v>23</v>
      </c>
      <c r="S220" t="s">
        <v>18</v>
      </c>
      <c r="T220" t="s">
        <v>64</v>
      </c>
      <c r="U220">
        <v>50013</v>
      </c>
      <c r="V220" t="s">
        <v>25</v>
      </c>
      <c r="W220" s="11">
        <v>279.65717554680299</v>
      </c>
      <c r="X220" s="11">
        <v>3.524655144351279</v>
      </c>
      <c r="Y220" s="11">
        <v>201.5139284045955</v>
      </c>
      <c r="Z220" s="13">
        <f t="shared" si="29"/>
        <v>-3.0875546802974441E-2</v>
      </c>
      <c r="AA220" s="13">
        <f t="shared" si="30"/>
        <v>7.0244855648720961E-2</v>
      </c>
      <c r="AB220" s="13">
        <f t="shared" si="31"/>
        <v>-3.7284045955061629E-3</v>
      </c>
      <c r="AC220" s="13">
        <f t="shared" si="32"/>
        <v>7.6821482258025334E-2</v>
      </c>
      <c r="AD220">
        <v>10</v>
      </c>
      <c r="AE220" t="s">
        <v>23</v>
      </c>
      <c r="AF220" t="s">
        <v>68</v>
      </c>
    </row>
    <row r="221" spans="1:32" x14ac:dyDescent="0.3">
      <c r="A221" s="1" t="s">
        <v>100</v>
      </c>
      <c r="B221" s="1">
        <v>34</v>
      </c>
      <c r="C221" s="1" t="s">
        <v>74</v>
      </c>
      <c r="D221" s="8">
        <v>757.06629999999996</v>
      </c>
      <c r="E221" s="8">
        <v>-97.072900000000004</v>
      </c>
      <c r="F221" s="8">
        <v>-665.01070000000004</v>
      </c>
      <c r="G221" t="s">
        <v>64</v>
      </c>
      <c r="H221">
        <v>50034</v>
      </c>
      <c r="I221" t="s">
        <v>26</v>
      </c>
      <c r="J221" s="11">
        <v>757.04048119155846</v>
      </c>
      <c r="K221" s="11">
        <v>-97.048046358591094</v>
      </c>
      <c r="L221" s="11">
        <v>-664.98210886034315</v>
      </c>
      <c r="M221" s="13">
        <f t="shared" si="25"/>
        <v>2.5818808441499641E-2</v>
      </c>
      <c r="N221" s="13">
        <f t="shared" si="26"/>
        <v>-2.4853641408910221E-2</v>
      </c>
      <c r="O221" s="13">
        <f t="shared" si="27"/>
        <v>-2.8591139656896303E-2</v>
      </c>
      <c r="P221" s="13">
        <f t="shared" si="28"/>
        <v>4.5845039290000597E-2</v>
      </c>
      <c r="Q221">
        <v>10</v>
      </c>
      <c r="R221" t="s">
        <v>23</v>
      </c>
      <c r="S221" t="s">
        <v>18</v>
      </c>
      <c r="T221" t="s">
        <v>64</v>
      </c>
      <c r="U221">
        <v>50034</v>
      </c>
      <c r="V221" t="s">
        <v>26</v>
      </c>
      <c r="W221" s="11">
        <v>757.0396907515111</v>
      </c>
      <c r="X221" s="11">
        <v>-97.046784021852631</v>
      </c>
      <c r="Y221" s="11">
        <v>-665.00293854417009</v>
      </c>
      <c r="Z221" s="13">
        <f t="shared" si="29"/>
        <v>2.6609248488853154E-2</v>
      </c>
      <c r="AA221" s="13">
        <f t="shared" si="30"/>
        <v>-2.6115978147373653E-2</v>
      </c>
      <c r="AB221" s="13">
        <f t="shared" si="31"/>
        <v>-7.7614558299501368E-3</v>
      </c>
      <c r="AC221" s="13">
        <f t="shared" si="32"/>
        <v>3.8083285261856011E-2</v>
      </c>
      <c r="AD221">
        <v>10</v>
      </c>
      <c r="AE221" t="s">
        <v>23</v>
      </c>
      <c r="AF221" t="s">
        <v>68</v>
      </c>
    </row>
    <row r="222" spans="1:32" x14ac:dyDescent="0.3">
      <c r="A222" s="1" t="s">
        <v>100</v>
      </c>
      <c r="B222" s="1">
        <v>37</v>
      </c>
      <c r="C222" s="1" t="s">
        <v>79</v>
      </c>
      <c r="D222" s="8">
        <v>32.6967</v>
      </c>
      <c r="E222" s="8">
        <v>-99.002799999999993</v>
      </c>
      <c r="F222" s="8">
        <v>-389.74860000000001</v>
      </c>
      <c r="G222" t="s">
        <v>64</v>
      </c>
      <c r="H222">
        <v>50037</v>
      </c>
      <c r="I222" t="s">
        <v>27</v>
      </c>
      <c r="J222" s="11">
        <v>32.698641791484462</v>
      </c>
      <c r="K222" s="11">
        <v>-98.951844601156495</v>
      </c>
      <c r="L222" s="11">
        <v>-389.79662953605401</v>
      </c>
      <c r="M222" s="13">
        <f t="shared" si="25"/>
        <v>-1.9417914844623851E-3</v>
      </c>
      <c r="N222" s="13">
        <f t="shared" si="26"/>
        <v>-5.0955398843498756E-2</v>
      </c>
      <c r="O222" s="13">
        <f t="shared" si="27"/>
        <v>4.8029536054002619E-2</v>
      </c>
      <c r="P222" s="13">
        <f t="shared" si="28"/>
        <v>7.0050407272419929E-2</v>
      </c>
      <c r="Q222">
        <v>10</v>
      </c>
      <c r="R222" t="s">
        <v>23</v>
      </c>
      <c r="S222" t="s">
        <v>18</v>
      </c>
      <c r="T222" t="s">
        <v>64</v>
      </c>
      <c r="U222">
        <v>50037</v>
      </c>
      <c r="V222" t="s">
        <v>27</v>
      </c>
      <c r="W222" s="11">
        <v>32.704824587775569</v>
      </c>
      <c r="X222" s="11">
        <v>-98.931933853867719</v>
      </c>
      <c r="Y222" s="11">
        <v>-389.79897662893183</v>
      </c>
      <c r="Z222" s="13">
        <f t="shared" si="29"/>
        <v>-8.1245877755691254E-3</v>
      </c>
      <c r="AA222" s="13">
        <f t="shared" si="30"/>
        <v>-7.0866146132274821E-2</v>
      </c>
      <c r="AB222" s="13">
        <f t="shared" si="31"/>
        <v>5.0376628931815048E-2</v>
      </c>
      <c r="AC222" s="13">
        <f t="shared" si="32"/>
        <v>8.7325965993498414E-2</v>
      </c>
      <c r="AD222">
        <v>10</v>
      </c>
      <c r="AE222" t="s">
        <v>23</v>
      </c>
      <c r="AF222" t="s">
        <v>68</v>
      </c>
    </row>
    <row r="223" spans="1:32" x14ac:dyDescent="0.3">
      <c r="A223" s="5"/>
      <c r="B223" s="5"/>
      <c r="C223" s="5"/>
      <c r="D223" s="9"/>
      <c r="E223" s="9"/>
      <c r="F223" s="9"/>
      <c r="G223" t="s">
        <v>64</v>
      </c>
      <c r="H223">
        <v>50004</v>
      </c>
      <c r="I223" t="s">
        <v>29</v>
      </c>
      <c r="J223" s="11">
        <v>1043.9106947909829</v>
      </c>
      <c r="K223" s="11">
        <v>-516.43249518839389</v>
      </c>
      <c r="L223" s="11">
        <v>-1104.0066538467861</v>
      </c>
      <c r="M223" s="13"/>
      <c r="N223" s="13"/>
      <c r="O223" s="13"/>
      <c r="P223" s="13"/>
      <c r="Q223">
        <v>10</v>
      </c>
      <c r="R223" t="s">
        <v>23</v>
      </c>
      <c r="S223" t="s">
        <v>18</v>
      </c>
      <c r="T223" t="s">
        <v>64</v>
      </c>
      <c r="U223">
        <v>50004</v>
      </c>
      <c r="V223" t="s">
        <v>29</v>
      </c>
      <c r="W223" s="11">
        <v>1043.871084024451</v>
      </c>
      <c r="X223" s="11">
        <v>-516.40402205564249</v>
      </c>
      <c r="Y223" s="11">
        <v>-1104.078837692809</v>
      </c>
      <c r="Z223" s="13"/>
      <c r="AA223" s="13"/>
      <c r="AB223" s="13"/>
      <c r="AC223" s="13"/>
      <c r="AD223">
        <v>10</v>
      </c>
      <c r="AE223" t="s">
        <v>23</v>
      </c>
      <c r="AF223" t="s">
        <v>68</v>
      </c>
    </row>
    <row r="224" spans="1:32" x14ac:dyDescent="0.3">
      <c r="A224" s="1" t="s">
        <v>100</v>
      </c>
      <c r="B224" s="1">
        <v>42</v>
      </c>
      <c r="C224" s="1" t="s">
        <v>90</v>
      </c>
      <c r="D224" s="8">
        <v>1082.6003000000001</v>
      </c>
      <c r="E224" s="8">
        <v>-99.316699999999997</v>
      </c>
      <c r="F224" s="8">
        <v>-355.89190000000002</v>
      </c>
      <c r="G224" t="s">
        <v>64</v>
      </c>
      <c r="H224">
        <v>50042</v>
      </c>
      <c r="I224" t="s">
        <v>28</v>
      </c>
      <c r="J224" s="11">
        <v>1082.589139075139</v>
      </c>
      <c r="K224" s="11">
        <v>-99.218168301568852</v>
      </c>
      <c r="L224" s="11">
        <v>-355.86277761680509</v>
      </c>
      <c r="M224" s="13">
        <f t="shared" si="25"/>
        <v>1.1160924861087551E-2</v>
      </c>
      <c r="N224" s="13">
        <f t="shared" si="26"/>
        <v>-9.8531698431145287E-2</v>
      </c>
      <c r="O224" s="13">
        <f t="shared" si="27"/>
        <v>-2.912238319493099E-2</v>
      </c>
      <c r="P224" s="13">
        <f t="shared" si="28"/>
        <v>0.10334977040338987</v>
      </c>
      <c r="Q224">
        <v>10</v>
      </c>
      <c r="R224" t="s">
        <v>23</v>
      </c>
      <c r="S224" t="s">
        <v>18</v>
      </c>
      <c r="T224" t="s">
        <v>64</v>
      </c>
      <c r="U224">
        <v>50042</v>
      </c>
      <c r="V224" t="s">
        <v>28</v>
      </c>
      <c r="W224" s="11">
        <v>1082.5961768626501</v>
      </c>
      <c r="X224" s="11">
        <v>-99.270651203706024</v>
      </c>
      <c r="Y224" s="11">
        <v>-355.89223379063787</v>
      </c>
      <c r="Z224" s="13">
        <f t="shared" si="29"/>
        <v>4.1231373500068003E-3</v>
      </c>
      <c r="AA224" s="13">
        <f t="shared" si="30"/>
        <v>-4.6048796293973737E-2</v>
      </c>
      <c r="AB224" s="13">
        <f t="shared" si="31"/>
        <v>3.3379063785332619E-4</v>
      </c>
      <c r="AC224" s="13">
        <f t="shared" si="32"/>
        <v>4.6234222367428537E-2</v>
      </c>
      <c r="AD224">
        <v>10</v>
      </c>
      <c r="AE224" t="s">
        <v>23</v>
      </c>
      <c r="AF224" t="s">
        <v>68</v>
      </c>
    </row>
    <row r="225" spans="1:32" x14ac:dyDescent="0.3">
      <c r="A225" s="1" t="s">
        <v>100</v>
      </c>
      <c r="B225" s="1">
        <v>506</v>
      </c>
      <c r="C225" s="1" t="s">
        <v>82</v>
      </c>
      <c r="D225" s="8">
        <v>1147.9928</v>
      </c>
      <c r="E225" s="8">
        <v>-26.2927</v>
      </c>
      <c r="F225" s="8">
        <v>-460.10559999999998</v>
      </c>
      <c r="G225" t="s">
        <v>64</v>
      </c>
      <c r="H225">
        <v>50506</v>
      </c>
      <c r="I225" t="s">
        <v>30</v>
      </c>
      <c r="J225" s="11">
        <v>1147.995748884661</v>
      </c>
      <c r="K225" s="11">
        <v>-26.188704670430742</v>
      </c>
      <c r="L225" s="11">
        <v>-460.06290546635819</v>
      </c>
      <c r="M225" s="13">
        <f t="shared" si="25"/>
        <v>-2.9488846610092878E-3</v>
      </c>
      <c r="N225" s="13">
        <f t="shared" si="26"/>
        <v>-0.10399532956925839</v>
      </c>
      <c r="O225" s="13">
        <f t="shared" si="27"/>
        <v>-4.2694533641792987E-2</v>
      </c>
      <c r="P225" s="13">
        <f t="shared" si="28"/>
        <v>0.11245687038083887</v>
      </c>
      <c r="Q225">
        <v>10</v>
      </c>
      <c r="R225" t="s">
        <v>23</v>
      </c>
      <c r="S225" t="s">
        <v>18</v>
      </c>
      <c r="T225" t="s">
        <v>64</v>
      </c>
      <c r="U225">
        <v>50506</v>
      </c>
      <c r="V225" t="s">
        <v>30</v>
      </c>
      <c r="W225" s="11">
        <v>1148.004887908183</v>
      </c>
      <c r="X225" s="11">
        <v>-26.234554805421791</v>
      </c>
      <c r="Y225" s="11">
        <v>-460.08639366129722</v>
      </c>
      <c r="Z225" s="13">
        <f t="shared" si="29"/>
        <v>-1.2087908183048057E-2</v>
      </c>
      <c r="AA225" s="13">
        <f t="shared" si="30"/>
        <v>-5.8145194578209214E-2</v>
      </c>
      <c r="AB225" s="13">
        <f t="shared" si="31"/>
        <v>-1.9206338702758785E-2</v>
      </c>
      <c r="AC225" s="13">
        <f t="shared" si="32"/>
        <v>6.2416861689327988E-2</v>
      </c>
      <c r="AD225">
        <v>10</v>
      </c>
      <c r="AE225" t="s">
        <v>23</v>
      </c>
      <c r="AF225" t="s">
        <v>68</v>
      </c>
    </row>
    <row r="226" spans="1:32" x14ac:dyDescent="0.3">
      <c r="A226" s="1" t="s">
        <v>100</v>
      </c>
      <c r="B226" s="1">
        <v>507</v>
      </c>
      <c r="C226" s="1" t="s">
        <v>83</v>
      </c>
      <c r="D226" s="8">
        <v>675.75469999999996</v>
      </c>
      <c r="E226" s="8">
        <v>-30.479600000000001</v>
      </c>
      <c r="F226" s="8">
        <v>-1093.1298999999999</v>
      </c>
      <c r="G226" t="s">
        <v>64</v>
      </c>
      <c r="H226">
        <v>50507</v>
      </c>
      <c r="I226" t="s">
        <v>31</v>
      </c>
      <c r="J226" s="11">
        <v>675.79145966127214</v>
      </c>
      <c r="K226" s="11">
        <v>-30.482501117950569</v>
      </c>
      <c r="L226" s="11">
        <v>-1093.111718635289</v>
      </c>
      <c r="M226" s="13">
        <f t="shared" si="25"/>
        <v>-3.675966127218544E-2</v>
      </c>
      <c r="N226" s="13">
        <f t="shared" si="26"/>
        <v>2.9011179505680218E-3</v>
      </c>
      <c r="O226" s="13">
        <f t="shared" si="27"/>
        <v>-1.8181364710926573E-2</v>
      </c>
      <c r="P226" s="13">
        <f t="shared" si="28"/>
        <v>4.1112664775718982E-2</v>
      </c>
      <c r="Q226">
        <v>10</v>
      </c>
      <c r="R226" t="s">
        <v>23</v>
      </c>
      <c r="S226" t="s">
        <v>18</v>
      </c>
      <c r="T226" t="s">
        <v>64</v>
      </c>
      <c r="U226">
        <v>50507</v>
      </c>
      <c r="V226" t="s">
        <v>31</v>
      </c>
      <c r="W226" s="11">
        <v>675.7839937523346</v>
      </c>
      <c r="X226" s="11">
        <v>-30.431037637071331</v>
      </c>
      <c r="Y226" s="11">
        <v>-1093.1234731108229</v>
      </c>
      <c r="Z226" s="13">
        <f t="shared" si="29"/>
        <v>-2.9293752334638157E-2</v>
      </c>
      <c r="AA226" s="13">
        <f t="shared" si="30"/>
        <v>-4.8562362928670666E-2</v>
      </c>
      <c r="AB226" s="13">
        <f t="shared" si="31"/>
        <v>-6.4268891769643233E-3</v>
      </c>
      <c r="AC226" s="13">
        <f t="shared" si="32"/>
        <v>5.7076544425464538E-2</v>
      </c>
      <c r="AD226">
        <v>10</v>
      </c>
      <c r="AE226" t="s">
        <v>23</v>
      </c>
      <c r="AF226" t="s">
        <v>68</v>
      </c>
    </row>
    <row r="227" spans="1:32" x14ac:dyDescent="0.3">
      <c r="A227" s="1" t="s">
        <v>100</v>
      </c>
      <c r="B227" s="1">
        <v>509</v>
      </c>
      <c r="C227" s="1" t="s">
        <v>97</v>
      </c>
      <c r="D227" s="8">
        <v>487.05770000000001</v>
      </c>
      <c r="E227" s="8">
        <v>-401.16090000000003</v>
      </c>
      <c r="F227" s="8">
        <v>440.91730000000001</v>
      </c>
      <c r="G227" t="s">
        <v>64</v>
      </c>
      <c r="H227">
        <v>50509</v>
      </c>
      <c r="I227" t="s">
        <v>32</v>
      </c>
      <c r="J227" s="11">
        <v>487.07643696913863</v>
      </c>
      <c r="K227" s="11">
        <v>-401.08943901616158</v>
      </c>
      <c r="L227" s="11">
        <v>440.89973450489151</v>
      </c>
      <c r="M227" s="13">
        <f t="shared" si="25"/>
        <v>-1.8736969138615223E-2</v>
      </c>
      <c r="N227" s="13">
        <f t="shared" si="26"/>
        <v>-7.146098383844901E-2</v>
      </c>
      <c r="O227" s="13">
        <f t="shared" si="27"/>
        <v>1.7565495108499363E-2</v>
      </c>
      <c r="P227" s="13">
        <f t="shared" si="28"/>
        <v>7.59361102642689E-2</v>
      </c>
      <c r="Q227">
        <v>10</v>
      </c>
      <c r="R227" t="s">
        <v>23</v>
      </c>
      <c r="S227" t="s">
        <v>18</v>
      </c>
      <c r="T227" t="s">
        <v>64</v>
      </c>
      <c r="U227">
        <v>50509</v>
      </c>
      <c r="V227" t="s">
        <v>32</v>
      </c>
      <c r="W227" s="11">
        <v>487.08422928727202</v>
      </c>
      <c r="X227" s="11">
        <v>-401.18638720668088</v>
      </c>
      <c r="Y227" s="11">
        <v>440.85399420399278</v>
      </c>
      <c r="Z227" s="13">
        <f t="shared" si="29"/>
        <v>-2.6529287272012425E-2</v>
      </c>
      <c r="AA227" s="13">
        <f t="shared" si="30"/>
        <v>2.548720668085025E-2</v>
      </c>
      <c r="AB227" s="13">
        <f t="shared" si="31"/>
        <v>6.3305796007227855E-2</v>
      </c>
      <c r="AC227" s="13">
        <f t="shared" si="32"/>
        <v>7.3219017991653534E-2</v>
      </c>
      <c r="AD227">
        <v>10</v>
      </c>
      <c r="AE227" t="s">
        <v>23</v>
      </c>
      <c r="AF227" t="s">
        <v>68</v>
      </c>
    </row>
    <row r="228" spans="1:32" x14ac:dyDescent="0.3">
      <c r="A228" s="1" t="s">
        <v>100</v>
      </c>
      <c r="B228" s="1">
        <v>57</v>
      </c>
      <c r="C228" s="1" t="s">
        <v>91</v>
      </c>
      <c r="D228" s="8">
        <v>381.1062</v>
      </c>
      <c r="E228" s="8">
        <v>-99.686999999999998</v>
      </c>
      <c r="F228" s="8">
        <v>-131.25450000000001</v>
      </c>
      <c r="G228" t="s">
        <v>64</v>
      </c>
      <c r="H228">
        <v>50057</v>
      </c>
      <c r="I228" t="s">
        <v>33</v>
      </c>
      <c r="J228" s="11">
        <v>381.09898628794048</v>
      </c>
      <c r="K228" s="11">
        <v>-99.652824831790383</v>
      </c>
      <c r="L228" s="11">
        <v>-131.25754530719519</v>
      </c>
      <c r="M228" s="13">
        <f t="shared" si="25"/>
        <v>7.2137120595243687E-3</v>
      </c>
      <c r="N228" s="13">
        <f t="shared" si="26"/>
        <v>-3.4175168209614526E-2</v>
      </c>
      <c r="O228" s="13">
        <f t="shared" si="27"/>
        <v>3.0453071951797028E-3</v>
      </c>
      <c r="P228" s="13">
        <f t="shared" si="28"/>
        <v>3.506071390810786E-2</v>
      </c>
      <c r="Q228">
        <v>10</v>
      </c>
      <c r="R228" t="s">
        <v>23</v>
      </c>
      <c r="S228" t="s">
        <v>18</v>
      </c>
      <c r="T228" t="s">
        <v>64</v>
      </c>
      <c r="U228">
        <v>50057</v>
      </c>
      <c r="V228" t="s">
        <v>33</v>
      </c>
      <c r="W228" s="11">
        <v>381.11178926064542</v>
      </c>
      <c r="X228" s="11">
        <v>-99.682856043079198</v>
      </c>
      <c r="Y228" s="11">
        <v>-131.2689540479299</v>
      </c>
      <c r="Z228" s="13">
        <f t="shared" si="29"/>
        <v>-5.5892606454222005E-3</v>
      </c>
      <c r="AA228" s="13">
        <f t="shared" si="30"/>
        <v>-4.1439569207994964E-3</v>
      </c>
      <c r="AB228" s="13">
        <f t="shared" si="31"/>
        <v>1.4454047929888247E-2</v>
      </c>
      <c r="AC228" s="13">
        <f t="shared" si="32"/>
        <v>1.6041562114813324E-2</v>
      </c>
      <c r="AD228">
        <v>10</v>
      </c>
      <c r="AE228" t="s">
        <v>23</v>
      </c>
      <c r="AF228" t="s">
        <v>68</v>
      </c>
    </row>
    <row r="229" spans="1:32" x14ac:dyDescent="0.3">
      <c r="A229" s="5"/>
      <c r="B229" s="5"/>
      <c r="C229" s="5"/>
      <c r="D229" s="9"/>
      <c r="E229" s="9"/>
      <c r="F229" s="9"/>
      <c r="G229" t="s">
        <v>64</v>
      </c>
      <c r="H229">
        <v>50087</v>
      </c>
      <c r="I229" t="s">
        <v>34</v>
      </c>
      <c r="J229" s="11">
        <v>1196.5448222008431</v>
      </c>
      <c r="K229" s="11">
        <v>-635.08281680047537</v>
      </c>
      <c r="L229" s="11">
        <v>-973.9888881467092</v>
      </c>
      <c r="M229" s="13"/>
      <c r="N229" s="13"/>
      <c r="O229" s="13"/>
      <c r="P229" s="13"/>
      <c r="Q229">
        <v>10</v>
      </c>
      <c r="R229" t="s">
        <v>23</v>
      </c>
      <c r="S229" t="s">
        <v>18</v>
      </c>
      <c r="T229" t="s">
        <v>64</v>
      </c>
      <c r="U229">
        <v>50087</v>
      </c>
      <c r="V229" t="s">
        <v>34</v>
      </c>
      <c r="W229" s="11">
        <v>1196.500784132618</v>
      </c>
      <c r="X229" s="11">
        <v>-635.07797817402184</v>
      </c>
      <c r="Y229" s="11">
        <v>-974.0774459673197</v>
      </c>
      <c r="Z229" s="13"/>
      <c r="AA229" s="13"/>
      <c r="AB229" s="13"/>
      <c r="AC229" s="13"/>
      <c r="AD229">
        <v>10</v>
      </c>
      <c r="AE229" t="s">
        <v>23</v>
      </c>
      <c r="AF229" t="s">
        <v>68</v>
      </c>
    </row>
    <row r="230" spans="1:32" x14ac:dyDescent="0.3">
      <c r="A230" s="1" t="s">
        <v>100</v>
      </c>
      <c r="B230" s="1">
        <v>92</v>
      </c>
      <c r="C230" s="1" t="s">
        <v>92</v>
      </c>
      <c r="D230" s="8">
        <v>531.77800000000002</v>
      </c>
      <c r="E230" s="8">
        <v>-96.720699999999994</v>
      </c>
      <c r="F230" s="8">
        <v>-861.45090000000005</v>
      </c>
      <c r="G230" t="s">
        <v>64</v>
      </c>
      <c r="H230">
        <v>50092</v>
      </c>
      <c r="I230" t="s">
        <v>35</v>
      </c>
      <c r="J230" s="11">
        <v>531.76679975649722</v>
      </c>
      <c r="K230" s="11">
        <v>-96.731395047731198</v>
      </c>
      <c r="L230" s="11">
        <v>-861.43212545199901</v>
      </c>
      <c r="M230" s="13">
        <f t="shared" si="25"/>
        <v>1.1200243502798912E-2</v>
      </c>
      <c r="N230" s="13">
        <f t="shared" si="26"/>
        <v>1.0695047731203999E-2</v>
      </c>
      <c r="O230" s="13">
        <f t="shared" si="27"/>
        <v>-1.8774548001033509E-2</v>
      </c>
      <c r="P230" s="13">
        <f t="shared" si="28"/>
        <v>2.4337484527736888E-2</v>
      </c>
      <c r="Q230">
        <v>10</v>
      </c>
      <c r="R230" t="s">
        <v>23</v>
      </c>
      <c r="S230" t="s">
        <v>18</v>
      </c>
      <c r="T230" t="s">
        <v>64</v>
      </c>
      <c r="U230">
        <v>50092</v>
      </c>
      <c r="V230" t="s">
        <v>35</v>
      </c>
      <c r="W230" s="11">
        <v>531.760964738805</v>
      </c>
      <c r="X230" s="11">
        <v>-96.69477152185928</v>
      </c>
      <c r="Y230" s="11">
        <v>-861.44711007265278</v>
      </c>
      <c r="Z230" s="13">
        <f t="shared" si="29"/>
        <v>1.7035261195019302E-2</v>
      </c>
      <c r="AA230" s="13">
        <f t="shared" si="30"/>
        <v>-2.5928478140713196E-2</v>
      </c>
      <c r="AB230" s="13">
        <f t="shared" si="31"/>
        <v>-3.7899273472703499E-3</v>
      </c>
      <c r="AC230" s="13">
        <f t="shared" si="32"/>
        <v>3.1254594093885785E-2</v>
      </c>
      <c r="AD230">
        <v>10</v>
      </c>
      <c r="AE230" t="s">
        <v>23</v>
      </c>
      <c r="AF230" t="s">
        <v>68</v>
      </c>
    </row>
    <row r="231" spans="1:32" x14ac:dyDescent="0.3">
      <c r="A231" s="1" t="s">
        <v>100</v>
      </c>
      <c r="B231" s="1">
        <v>96</v>
      </c>
      <c r="C231" s="1" t="s">
        <v>84</v>
      </c>
      <c r="D231" s="8">
        <v>424.51729999999998</v>
      </c>
      <c r="E231" s="8">
        <v>3.3925999999999998</v>
      </c>
      <c r="F231" s="8">
        <v>304.71089999999998</v>
      </c>
      <c r="G231" t="s">
        <v>64</v>
      </c>
      <c r="H231">
        <v>50096</v>
      </c>
      <c r="I231" t="s">
        <v>36</v>
      </c>
      <c r="J231" s="11">
        <v>424.51197042200442</v>
      </c>
      <c r="K231" s="11">
        <v>3.4390199404173369</v>
      </c>
      <c r="L231" s="11">
        <v>304.71902947977492</v>
      </c>
      <c r="M231" s="13">
        <f t="shared" si="25"/>
        <v>5.3295779955533362E-3</v>
      </c>
      <c r="N231" s="13">
        <f t="shared" si="26"/>
        <v>-4.6419940417337102E-2</v>
      </c>
      <c r="O231" s="13">
        <f t="shared" si="27"/>
        <v>-8.1294797749364989E-3</v>
      </c>
      <c r="P231" s="13">
        <f t="shared" si="28"/>
        <v>4.7426824808023085E-2</v>
      </c>
      <c r="Q231">
        <v>10</v>
      </c>
      <c r="R231" t="s">
        <v>23</v>
      </c>
      <c r="S231" t="s">
        <v>18</v>
      </c>
      <c r="T231" t="s">
        <v>64</v>
      </c>
      <c r="U231">
        <v>50096</v>
      </c>
      <c r="V231" t="s">
        <v>36</v>
      </c>
      <c r="W231" s="11">
        <v>424.54277548306749</v>
      </c>
      <c r="X231" s="11">
        <v>3.3604445555204232</v>
      </c>
      <c r="Y231" s="11">
        <v>304.71730382086378</v>
      </c>
      <c r="Z231" s="13">
        <f t="shared" si="29"/>
        <v>-2.5475483067509685E-2</v>
      </c>
      <c r="AA231" s="13">
        <f t="shared" si="30"/>
        <v>3.2155444479576634E-2</v>
      </c>
      <c r="AB231" s="13">
        <f t="shared" si="31"/>
        <v>-6.4038208637953176E-3</v>
      </c>
      <c r="AC231" s="13">
        <f t="shared" si="32"/>
        <v>4.1520859442666744E-2</v>
      </c>
      <c r="AD231">
        <v>10</v>
      </c>
      <c r="AE231" t="s">
        <v>23</v>
      </c>
      <c r="AF231" t="s">
        <v>68</v>
      </c>
    </row>
    <row r="232" spans="1:32" x14ac:dyDescent="0.3">
      <c r="A232" s="1" t="s">
        <v>99</v>
      </c>
      <c r="B232" s="1">
        <v>1015</v>
      </c>
      <c r="C232" s="1" t="s">
        <v>75</v>
      </c>
      <c r="D232" s="8">
        <v>575.71609999999998</v>
      </c>
      <c r="E232" s="8">
        <v>-53.890099999999997</v>
      </c>
      <c r="F232" s="8">
        <v>347.23259999999999</v>
      </c>
      <c r="G232" t="s">
        <v>65</v>
      </c>
      <c r="H232">
        <v>51008</v>
      </c>
      <c r="I232" t="s">
        <v>16</v>
      </c>
      <c r="J232" s="11">
        <v>575.70000551154328</v>
      </c>
      <c r="K232" s="11">
        <v>-53.807098195179186</v>
      </c>
      <c r="L232" s="11">
        <v>347.2229070789158</v>
      </c>
      <c r="M232" s="13">
        <f t="shared" si="25"/>
        <v>1.6094488456701583E-2</v>
      </c>
      <c r="N232" s="13">
        <f t="shared" si="26"/>
        <v>-8.3001804820810321E-2</v>
      </c>
      <c r="O232" s="13">
        <f t="shared" si="27"/>
        <v>9.6929210841949498E-3</v>
      </c>
      <c r="P232" s="13">
        <f t="shared" si="28"/>
        <v>8.5101615033671502E-2</v>
      </c>
      <c r="Q232">
        <v>11</v>
      </c>
      <c r="R232" t="s">
        <v>17</v>
      </c>
      <c r="S232" t="s">
        <v>18</v>
      </c>
      <c r="T232" t="s">
        <v>65</v>
      </c>
      <c r="U232">
        <v>1015</v>
      </c>
      <c r="V232" s="6" t="s">
        <v>42</v>
      </c>
      <c r="W232" s="11">
        <v>575.71609999999998</v>
      </c>
      <c r="X232" s="11">
        <v>-53.890099999999997</v>
      </c>
      <c r="Y232" s="11">
        <v>347.23259999999999</v>
      </c>
      <c r="Z232" s="13"/>
      <c r="AA232" s="13"/>
      <c r="AB232" s="13"/>
      <c r="AC232" s="13"/>
      <c r="AD232">
        <v>11</v>
      </c>
      <c r="AE232" t="s">
        <v>17</v>
      </c>
    </row>
    <row r="233" spans="1:32" x14ac:dyDescent="0.3">
      <c r="A233" s="1" t="s">
        <v>99</v>
      </c>
      <c r="B233" s="1">
        <v>1008</v>
      </c>
      <c r="C233" s="1" t="s">
        <v>76</v>
      </c>
      <c r="D233" s="8">
        <v>1296.7366999999999</v>
      </c>
      <c r="E233" s="8">
        <v>-46.9373</v>
      </c>
      <c r="F233" s="8">
        <v>-489.51949999999999</v>
      </c>
      <c r="G233" t="s">
        <v>65</v>
      </c>
      <c r="H233">
        <v>51011</v>
      </c>
      <c r="I233" t="s">
        <v>19</v>
      </c>
      <c r="J233" s="11">
        <v>1296.7493517657781</v>
      </c>
      <c r="K233" s="11">
        <v>-46.575224612029309</v>
      </c>
      <c r="L233" s="11">
        <v>-489.48704322225569</v>
      </c>
      <c r="M233" s="13">
        <f t="shared" si="25"/>
        <v>-1.2651765778173285E-2</v>
      </c>
      <c r="N233" s="13">
        <f t="shared" si="26"/>
        <v>-0.36207538797069105</v>
      </c>
      <c r="O233" s="13">
        <f t="shared" si="27"/>
        <v>-3.245677774430078E-2</v>
      </c>
      <c r="P233" s="13">
        <f t="shared" si="28"/>
        <v>0.36374729713494114</v>
      </c>
      <c r="Q233">
        <v>11</v>
      </c>
      <c r="R233" t="s">
        <v>17</v>
      </c>
      <c r="S233" t="s">
        <v>18</v>
      </c>
      <c r="T233" t="s">
        <v>65</v>
      </c>
      <c r="U233">
        <v>1008</v>
      </c>
      <c r="V233" s="6" t="s">
        <v>43</v>
      </c>
      <c r="W233" s="11">
        <v>1296.7366999999999</v>
      </c>
      <c r="X233" s="11">
        <v>-46.9373</v>
      </c>
      <c r="Y233" s="11">
        <v>-489.51949999999999</v>
      </c>
      <c r="Z233" s="13"/>
      <c r="AA233" s="13"/>
      <c r="AB233" s="13"/>
      <c r="AC233" s="13"/>
      <c r="AD233">
        <v>11</v>
      </c>
      <c r="AE233" t="s">
        <v>17</v>
      </c>
    </row>
    <row r="234" spans="1:32" x14ac:dyDescent="0.3">
      <c r="A234" s="1" t="s">
        <v>99</v>
      </c>
      <c r="B234" s="1">
        <v>1019</v>
      </c>
      <c r="C234" s="1" t="s">
        <v>77</v>
      </c>
      <c r="D234" s="8">
        <v>604.59939999999995</v>
      </c>
      <c r="E234" s="8">
        <v>-44.335999999999999</v>
      </c>
      <c r="F234" s="8">
        <v>-1115.0851</v>
      </c>
      <c r="G234" t="s">
        <v>65</v>
      </c>
      <c r="H234">
        <v>51024</v>
      </c>
      <c r="I234" t="s">
        <v>20</v>
      </c>
      <c r="J234" s="11">
        <v>604.62877061532379</v>
      </c>
      <c r="K234" s="11">
        <v>-44.075821576990343</v>
      </c>
      <c r="L234" s="11">
        <v>-1115.087900931775</v>
      </c>
      <c r="M234" s="13">
        <f t="shared" si="25"/>
        <v>-2.9370615323841776E-2</v>
      </c>
      <c r="N234" s="13">
        <f t="shared" si="26"/>
        <v>-0.26017842300965555</v>
      </c>
      <c r="O234" s="13">
        <f t="shared" si="27"/>
        <v>2.8009317750274931E-3</v>
      </c>
      <c r="P234" s="13">
        <f t="shared" si="28"/>
        <v>0.26184592810105084</v>
      </c>
      <c r="Q234">
        <v>11</v>
      </c>
      <c r="R234" t="s">
        <v>17</v>
      </c>
      <c r="S234" t="s">
        <v>18</v>
      </c>
      <c r="T234" t="s">
        <v>65</v>
      </c>
      <c r="U234">
        <v>1019</v>
      </c>
      <c r="V234" s="6" t="s">
        <v>44</v>
      </c>
      <c r="W234" s="11">
        <v>604.59939999999995</v>
      </c>
      <c r="X234" s="11">
        <v>-44.335999999999999</v>
      </c>
      <c r="Y234" s="11">
        <v>-1115.0851</v>
      </c>
      <c r="Z234" s="13"/>
      <c r="AA234" s="13"/>
      <c r="AB234" s="13"/>
      <c r="AC234" s="13"/>
      <c r="AD234">
        <v>11</v>
      </c>
      <c r="AE234" t="s">
        <v>17</v>
      </c>
    </row>
    <row r="235" spans="1:32" x14ac:dyDescent="0.3">
      <c r="A235" s="1" t="s">
        <v>99</v>
      </c>
      <c r="B235" s="1">
        <v>1001</v>
      </c>
      <c r="C235" s="1" t="s">
        <v>78</v>
      </c>
      <c r="D235" s="8">
        <v>-115.5879</v>
      </c>
      <c r="E235" s="8">
        <v>-51.051200000000001</v>
      </c>
      <c r="F235" s="8">
        <v>-283.19080000000002</v>
      </c>
      <c r="G235" t="s">
        <v>65</v>
      </c>
      <c r="H235">
        <v>51003</v>
      </c>
      <c r="I235" t="s">
        <v>21</v>
      </c>
      <c r="J235" s="11">
        <v>-115.6162481011107</v>
      </c>
      <c r="K235" s="11">
        <v>-50.990645308984703</v>
      </c>
      <c r="L235" s="11">
        <v>-283.20668163821051</v>
      </c>
      <c r="M235" s="13">
        <f t="shared" si="25"/>
        <v>2.8348101110694301E-2</v>
      </c>
      <c r="N235" s="13">
        <f t="shared" si="26"/>
        <v>-6.055469101529809E-2</v>
      </c>
      <c r="O235" s="13">
        <f t="shared" si="27"/>
        <v>1.5881638210487381E-2</v>
      </c>
      <c r="P235" s="13">
        <f t="shared" si="28"/>
        <v>6.8721989732466154E-2</v>
      </c>
      <c r="Q235">
        <v>11</v>
      </c>
      <c r="R235" t="s">
        <v>17</v>
      </c>
      <c r="S235" t="s">
        <v>18</v>
      </c>
      <c r="T235" t="s">
        <v>65</v>
      </c>
      <c r="U235">
        <v>1001</v>
      </c>
      <c r="V235" s="6" t="s">
        <v>45</v>
      </c>
      <c r="W235" s="11">
        <v>-115.5879</v>
      </c>
      <c r="X235" s="11">
        <v>-51.051200000000001</v>
      </c>
      <c r="Y235" s="11">
        <v>-283.19080000000002</v>
      </c>
      <c r="Z235" s="13"/>
      <c r="AA235" s="13"/>
      <c r="AB235" s="13"/>
      <c r="AC235" s="13"/>
      <c r="AD235">
        <v>11</v>
      </c>
      <c r="AE235" t="s">
        <v>17</v>
      </c>
    </row>
    <row r="236" spans="1:32" x14ac:dyDescent="0.3">
      <c r="A236" s="1" t="s">
        <v>99</v>
      </c>
      <c r="B236" s="1">
        <v>501</v>
      </c>
      <c r="C236" s="1" t="s">
        <v>94</v>
      </c>
      <c r="D236" s="8">
        <v>1.0800000000000001E-2</v>
      </c>
      <c r="E236" s="8">
        <v>-5.74E-2</v>
      </c>
      <c r="F236" s="8">
        <v>-0.2404</v>
      </c>
      <c r="G236" t="s">
        <v>65</v>
      </c>
      <c r="H236">
        <v>501</v>
      </c>
      <c r="I236" s="5" t="s">
        <v>10</v>
      </c>
      <c r="J236" s="11">
        <v>1.0800000000000001E-2</v>
      </c>
      <c r="K236" s="11">
        <v>-5.74E-2</v>
      </c>
      <c r="L236" s="11">
        <v>-0.2404</v>
      </c>
      <c r="M236" s="13"/>
      <c r="N236" s="13"/>
      <c r="O236" s="13"/>
      <c r="P236" s="13"/>
      <c r="Q236">
        <v>11</v>
      </c>
      <c r="R236" t="s">
        <v>11</v>
      </c>
      <c r="T236" t="s">
        <v>65</v>
      </c>
      <c r="U236">
        <v>50501</v>
      </c>
      <c r="V236" t="s">
        <v>67</v>
      </c>
      <c r="W236" s="11">
        <v>3.3326785707954672E-2</v>
      </c>
      <c r="X236" s="11">
        <v>-0.10101010158221579</v>
      </c>
      <c r="Y236" s="11">
        <v>-0.22126816328386109</v>
      </c>
      <c r="Z236" s="13">
        <f t="shared" si="29"/>
        <v>-2.2526785707954671E-2</v>
      </c>
      <c r="AA236" s="13">
        <f t="shared" si="30"/>
        <v>4.3610101582215795E-2</v>
      </c>
      <c r="AB236" s="13">
        <f t="shared" si="31"/>
        <v>-1.9131836716138911E-2</v>
      </c>
      <c r="AC236" s="13">
        <f t="shared" si="32"/>
        <v>5.2681345944046387E-2</v>
      </c>
      <c r="AD236">
        <v>11</v>
      </c>
      <c r="AE236" t="s">
        <v>11</v>
      </c>
      <c r="AF236" t="s">
        <v>68</v>
      </c>
    </row>
    <row r="237" spans="1:32" x14ac:dyDescent="0.3">
      <c r="A237" s="1" t="s">
        <v>99</v>
      </c>
      <c r="B237" s="1">
        <v>502</v>
      </c>
      <c r="C237" s="1" t="s">
        <v>85</v>
      </c>
      <c r="D237" s="8">
        <v>172.14109999999999</v>
      </c>
      <c r="E237" s="8">
        <v>0.36609999999999998</v>
      </c>
      <c r="F237" s="8">
        <v>-175.51310000000001</v>
      </c>
      <c r="G237" t="s">
        <v>65</v>
      </c>
      <c r="H237">
        <v>502</v>
      </c>
      <c r="I237" s="5" t="s">
        <v>12</v>
      </c>
      <c r="J237" s="11">
        <v>172.14109999999999</v>
      </c>
      <c r="K237" s="11">
        <v>0.36609999999999998</v>
      </c>
      <c r="L237" s="11">
        <v>-175.51310000000001</v>
      </c>
      <c r="M237" s="13"/>
      <c r="N237" s="13"/>
      <c r="O237" s="13"/>
      <c r="P237" s="13"/>
      <c r="Q237">
        <v>11</v>
      </c>
      <c r="R237" t="s">
        <v>11</v>
      </c>
      <c r="T237" t="s">
        <v>65</v>
      </c>
      <c r="U237">
        <v>50502</v>
      </c>
      <c r="V237" t="s">
        <v>69</v>
      </c>
      <c r="W237" s="11">
        <v>172.16376989499591</v>
      </c>
      <c r="X237" s="11">
        <v>0.28348271971305189</v>
      </c>
      <c r="Y237" s="11">
        <v>-175.5025050835273</v>
      </c>
      <c r="Z237" s="13">
        <f t="shared" si="29"/>
        <v>-2.2669894995914319E-2</v>
      </c>
      <c r="AA237" s="13">
        <f t="shared" si="30"/>
        <v>8.2617280286948092E-2</v>
      </c>
      <c r="AB237" s="13">
        <f t="shared" si="31"/>
        <v>-1.0594916472712157E-2</v>
      </c>
      <c r="AC237" s="13">
        <f t="shared" si="32"/>
        <v>8.6323759163984909E-2</v>
      </c>
      <c r="AD237">
        <v>11</v>
      </c>
      <c r="AE237" t="s">
        <v>11</v>
      </c>
      <c r="AF237" t="s">
        <v>68</v>
      </c>
    </row>
    <row r="238" spans="1:32" x14ac:dyDescent="0.3">
      <c r="A238" s="1" t="s">
        <v>99</v>
      </c>
      <c r="B238" s="1">
        <v>503</v>
      </c>
      <c r="C238" s="1" t="s">
        <v>95</v>
      </c>
      <c r="D238" s="8">
        <v>170.71279999999999</v>
      </c>
      <c r="E238" s="8">
        <v>-0.62919999999999998</v>
      </c>
      <c r="F238" s="8">
        <v>-1.2098</v>
      </c>
      <c r="G238" t="s">
        <v>65</v>
      </c>
      <c r="H238">
        <v>503</v>
      </c>
      <c r="I238" s="5" t="s">
        <v>13</v>
      </c>
      <c r="J238" s="11">
        <v>170.71279999999999</v>
      </c>
      <c r="K238" s="11">
        <v>-0.62919999999999998</v>
      </c>
      <c r="L238" s="11">
        <v>-1.2098</v>
      </c>
      <c r="M238" s="13"/>
      <c r="N238" s="13"/>
      <c r="O238" s="13"/>
      <c r="P238" s="13"/>
      <c r="Q238">
        <v>11</v>
      </c>
      <c r="R238" t="s">
        <v>11</v>
      </c>
      <c r="T238" t="s">
        <v>65</v>
      </c>
      <c r="U238">
        <v>50503</v>
      </c>
      <c r="V238" t="s">
        <v>70</v>
      </c>
      <c r="W238" s="11">
        <v>170.74124247720999</v>
      </c>
      <c r="X238" s="11">
        <v>-0.67152269296853107</v>
      </c>
      <c r="Y238" s="11">
        <v>-1.201441783651283</v>
      </c>
      <c r="Z238" s="13">
        <f t="shared" si="29"/>
        <v>-2.84424772100067E-2</v>
      </c>
      <c r="AA238" s="13">
        <f t="shared" si="30"/>
        <v>4.2322692968531084E-2</v>
      </c>
      <c r="AB238" s="13">
        <f t="shared" si="31"/>
        <v>-8.3582163487170291E-3</v>
      </c>
      <c r="AC238" s="13">
        <f t="shared" si="32"/>
        <v>5.1672474592206842E-2</v>
      </c>
      <c r="AD238">
        <v>11</v>
      </c>
      <c r="AE238" t="s">
        <v>11</v>
      </c>
      <c r="AF238" t="s">
        <v>68</v>
      </c>
    </row>
    <row r="239" spans="1:32" x14ac:dyDescent="0.3">
      <c r="A239" s="1" t="s">
        <v>99</v>
      </c>
      <c r="B239" s="1">
        <v>504</v>
      </c>
      <c r="C239" s="1" t="s">
        <v>87</v>
      </c>
      <c r="D239" s="8">
        <v>346.47809999999998</v>
      </c>
      <c r="E239" s="8">
        <v>-5.3400000000000003E-2</v>
      </c>
      <c r="F239" s="8">
        <v>-0.2102</v>
      </c>
      <c r="G239" t="s">
        <v>65</v>
      </c>
      <c r="H239">
        <v>504</v>
      </c>
      <c r="I239" s="5" t="s">
        <v>14</v>
      </c>
      <c r="J239" s="11">
        <v>346.47809999999998</v>
      </c>
      <c r="K239" s="11">
        <v>-5.3400000000000003E-2</v>
      </c>
      <c r="L239" s="11">
        <v>-0.2102</v>
      </c>
      <c r="M239" s="13"/>
      <c r="N239" s="13"/>
      <c r="O239" s="13"/>
      <c r="P239" s="13"/>
      <c r="Q239">
        <v>11</v>
      </c>
      <c r="R239" t="s">
        <v>11</v>
      </c>
      <c r="T239" t="s">
        <v>65</v>
      </c>
      <c r="U239">
        <v>50504</v>
      </c>
      <c r="V239" t="s">
        <v>71</v>
      </c>
      <c r="W239" s="11">
        <v>346.49587669157239</v>
      </c>
      <c r="X239" s="11">
        <v>-0.16464239680621059</v>
      </c>
      <c r="Y239" s="11">
        <v>-0.2115672708811572</v>
      </c>
      <c r="Z239" s="13">
        <f t="shared" si="29"/>
        <v>-1.7776691572407799E-2</v>
      </c>
      <c r="AA239" s="13">
        <f t="shared" si="30"/>
        <v>0.11124239680621059</v>
      </c>
      <c r="AB239" s="13">
        <f t="shared" si="31"/>
        <v>1.3672708811572065E-3</v>
      </c>
      <c r="AC239" s="13">
        <f t="shared" si="32"/>
        <v>0.1126621100464277</v>
      </c>
      <c r="AD239">
        <v>11</v>
      </c>
      <c r="AE239" t="s">
        <v>11</v>
      </c>
      <c r="AF239" t="s">
        <v>68</v>
      </c>
    </row>
    <row r="240" spans="1:32" x14ac:dyDescent="0.3">
      <c r="A240" s="1" t="s">
        <v>99</v>
      </c>
      <c r="B240" s="1">
        <v>505</v>
      </c>
      <c r="C240" s="1" t="s">
        <v>96</v>
      </c>
      <c r="D240" s="8">
        <v>169.8929</v>
      </c>
      <c r="E240" s="8">
        <v>-0.40189999999999998</v>
      </c>
      <c r="F240" s="8">
        <v>174.91499999999999</v>
      </c>
      <c r="G240" t="s">
        <v>65</v>
      </c>
      <c r="H240">
        <v>505</v>
      </c>
      <c r="I240" s="5" t="s">
        <v>15</v>
      </c>
      <c r="J240" s="11">
        <v>169.8929</v>
      </c>
      <c r="K240" s="11">
        <v>-0.40189999999999998</v>
      </c>
      <c r="L240" s="11">
        <v>174.91499999999999</v>
      </c>
      <c r="M240" s="13"/>
      <c r="N240" s="13"/>
      <c r="O240" s="13"/>
      <c r="P240" s="13"/>
      <c r="Q240">
        <v>11</v>
      </c>
      <c r="R240" t="s">
        <v>11</v>
      </c>
      <c r="T240" t="s">
        <v>65</v>
      </c>
      <c r="U240">
        <v>50505</v>
      </c>
      <c r="V240" t="s">
        <v>72</v>
      </c>
      <c r="W240" s="11">
        <v>169.9194125744738</v>
      </c>
      <c r="X240" s="11">
        <v>-0.44279762900092767</v>
      </c>
      <c r="Y240" s="11">
        <v>174.9174801449594</v>
      </c>
      <c r="Z240" s="13">
        <f t="shared" si="29"/>
        <v>-2.6512574473798622E-2</v>
      </c>
      <c r="AA240" s="13">
        <f t="shared" si="30"/>
        <v>4.0897629000927693E-2</v>
      </c>
      <c r="AB240" s="13">
        <f t="shared" si="31"/>
        <v>-2.4801449594065161E-3</v>
      </c>
      <c r="AC240" s="13">
        <f t="shared" si="32"/>
        <v>4.8802497703969105E-2</v>
      </c>
      <c r="AD240">
        <v>11</v>
      </c>
      <c r="AE240" t="s">
        <v>11</v>
      </c>
      <c r="AF240" t="s">
        <v>68</v>
      </c>
    </row>
    <row r="241" spans="1:32" x14ac:dyDescent="0.3">
      <c r="A241" s="1" t="s">
        <v>99</v>
      </c>
      <c r="B241" s="1">
        <v>116</v>
      </c>
      <c r="C241" s="1" t="s">
        <v>81</v>
      </c>
      <c r="D241" s="8">
        <v>1011.4654</v>
      </c>
      <c r="E241" s="8">
        <v>-624.52539999999999</v>
      </c>
      <c r="F241" s="8">
        <v>-1136.4747</v>
      </c>
      <c r="G241" t="s">
        <v>65</v>
      </c>
      <c r="H241">
        <v>50116</v>
      </c>
      <c r="I241" t="s">
        <v>22</v>
      </c>
      <c r="J241" s="11">
        <v>1011.715842638604</v>
      </c>
      <c r="K241" s="11">
        <v>-624.11819233504411</v>
      </c>
      <c r="L241" s="11">
        <v>-1136.5266664871631</v>
      </c>
      <c r="M241" s="13">
        <f t="shared" si="25"/>
        <v>-0.25044263860399951</v>
      </c>
      <c r="N241" s="13">
        <f t="shared" si="26"/>
        <v>-0.40720766495587668</v>
      </c>
      <c r="O241" s="13">
        <f t="shared" si="27"/>
        <v>5.1966487163099373E-2</v>
      </c>
      <c r="P241" s="13">
        <f t="shared" si="28"/>
        <v>0.48087432185325052</v>
      </c>
      <c r="Q241">
        <v>11</v>
      </c>
      <c r="R241" t="s">
        <v>23</v>
      </c>
      <c r="S241" t="s">
        <v>18</v>
      </c>
      <c r="T241" t="s">
        <v>65</v>
      </c>
      <c r="U241">
        <v>50116</v>
      </c>
      <c r="V241" t="s">
        <v>22</v>
      </c>
      <c r="W241" s="11">
        <v>1011.577322406832</v>
      </c>
      <c r="X241" s="11">
        <v>-624.48054964503729</v>
      </c>
      <c r="Y241" s="11">
        <v>-1136.4748256838061</v>
      </c>
      <c r="Z241" s="13">
        <f t="shared" si="29"/>
        <v>-0.11192240683192267</v>
      </c>
      <c r="AA241" s="13">
        <f t="shared" si="30"/>
        <v>-4.4850354962704841E-2</v>
      </c>
      <c r="AB241" s="13">
        <f t="shared" si="31"/>
        <v>1.2568380611810426E-4</v>
      </c>
      <c r="AC241" s="13">
        <f t="shared" si="32"/>
        <v>0.12057443878264644</v>
      </c>
      <c r="AD241">
        <v>11</v>
      </c>
      <c r="AE241" t="s">
        <v>23</v>
      </c>
      <c r="AF241" t="s">
        <v>68</v>
      </c>
    </row>
    <row r="242" spans="1:32" x14ac:dyDescent="0.3">
      <c r="A242" s="1" t="s">
        <v>99</v>
      </c>
      <c r="B242" s="1">
        <v>121</v>
      </c>
      <c r="C242" s="1" t="s">
        <v>93</v>
      </c>
      <c r="D242" s="8">
        <v>635.35839999999996</v>
      </c>
      <c r="E242" s="8">
        <v>-100.22190000000001</v>
      </c>
      <c r="F242" s="8">
        <v>95.867199999999997</v>
      </c>
      <c r="G242" t="s">
        <v>65</v>
      </c>
      <c r="H242">
        <v>50121</v>
      </c>
      <c r="I242" t="s">
        <v>24</v>
      </c>
      <c r="J242" s="11">
        <v>635.33972406504449</v>
      </c>
      <c r="K242" s="11">
        <v>-100.0912941748476</v>
      </c>
      <c r="L242" s="11">
        <v>95.850457626882886</v>
      </c>
      <c r="M242" s="13">
        <f t="shared" si="25"/>
        <v>1.867593495546771E-2</v>
      </c>
      <c r="N242" s="13">
        <f t="shared" si="26"/>
        <v>-0.13060582515240071</v>
      </c>
      <c r="O242" s="13">
        <f t="shared" si="27"/>
        <v>1.6742373117111242E-2</v>
      </c>
      <c r="P242" s="13">
        <f t="shared" si="28"/>
        <v>0.13299240266944912</v>
      </c>
      <c r="Q242">
        <v>11</v>
      </c>
      <c r="R242" t="s">
        <v>23</v>
      </c>
      <c r="S242" t="s">
        <v>18</v>
      </c>
      <c r="T242" t="s">
        <v>65</v>
      </c>
      <c r="U242">
        <v>50121</v>
      </c>
      <c r="V242" t="s">
        <v>24</v>
      </c>
      <c r="W242" s="11">
        <v>635.34704061599484</v>
      </c>
      <c r="X242" s="11">
        <v>-100.2351089230568</v>
      </c>
      <c r="Y242" s="11">
        <v>95.853881120228138</v>
      </c>
      <c r="Z242" s="13">
        <f t="shared" si="29"/>
        <v>1.1359384005118045E-2</v>
      </c>
      <c r="AA242" s="13">
        <f t="shared" si="30"/>
        <v>1.320892305679422E-2</v>
      </c>
      <c r="AB242" s="13">
        <f t="shared" si="31"/>
        <v>1.331887977185886E-2</v>
      </c>
      <c r="AC242" s="13">
        <f t="shared" si="32"/>
        <v>2.1929519184726159E-2</v>
      </c>
      <c r="AD242">
        <v>11</v>
      </c>
      <c r="AE242" t="s">
        <v>23</v>
      </c>
      <c r="AF242" t="s">
        <v>68</v>
      </c>
    </row>
    <row r="243" spans="1:32" x14ac:dyDescent="0.3">
      <c r="A243" s="1" t="s">
        <v>99</v>
      </c>
      <c r="B243" s="1">
        <v>13</v>
      </c>
      <c r="C243" s="1" t="s">
        <v>80</v>
      </c>
      <c r="D243" s="8">
        <v>279.84530000000001</v>
      </c>
      <c r="E243" s="8">
        <v>2.7976000000000001</v>
      </c>
      <c r="F243" s="8">
        <v>200.6309</v>
      </c>
      <c r="G243" t="s">
        <v>65</v>
      </c>
      <c r="H243">
        <v>50013</v>
      </c>
      <c r="I243" t="s">
        <v>25</v>
      </c>
      <c r="J243" s="11">
        <v>279.83832507701572</v>
      </c>
      <c r="K243" s="11">
        <v>2.7853627327997441</v>
      </c>
      <c r="L243" s="11">
        <v>200.62916006454731</v>
      </c>
      <c r="M243" s="13">
        <f t="shared" si="25"/>
        <v>6.9749229842841487E-3</v>
      </c>
      <c r="N243" s="13">
        <f t="shared" si="26"/>
        <v>1.2237267200255975E-2</v>
      </c>
      <c r="O243" s="13">
        <f t="shared" si="27"/>
        <v>1.7399354526901334E-3</v>
      </c>
      <c r="P243" s="13">
        <f t="shared" si="28"/>
        <v>1.4192520373305229E-2</v>
      </c>
      <c r="Q243">
        <v>11</v>
      </c>
      <c r="R243" t="s">
        <v>23</v>
      </c>
      <c r="S243" t="s">
        <v>18</v>
      </c>
      <c r="T243" t="s">
        <v>65</v>
      </c>
      <c r="U243">
        <v>50013</v>
      </c>
      <c r="V243" t="s">
        <v>25</v>
      </c>
      <c r="W243" s="11">
        <v>279.86949603431799</v>
      </c>
      <c r="X243" s="11">
        <v>2.723631288139269</v>
      </c>
      <c r="Y243" s="11">
        <v>200.63289054370591</v>
      </c>
      <c r="Z243" s="13">
        <f t="shared" si="29"/>
        <v>-2.419603431798123E-2</v>
      </c>
      <c r="AA243" s="13">
        <f t="shared" si="30"/>
        <v>7.3968711860731062E-2</v>
      </c>
      <c r="AB243" s="13">
        <f t="shared" si="31"/>
        <v>-1.9905437059151154E-3</v>
      </c>
      <c r="AC243" s="13">
        <f t="shared" si="32"/>
        <v>7.7851015891238953E-2</v>
      </c>
      <c r="AD243">
        <v>11</v>
      </c>
      <c r="AE243" t="s">
        <v>23</v>
      </c>
      <c r="AF243" t="s">
        <v>68</v>
      </c>
    </row>
    <row r="244" spans="1:32" x14ac:dyDescent="0.3">
      <c r="A244" s="1" t="s">
        <v>99</v>
      </c>
      <c r="B244" s="1">
        <v>34</v>
      </c>
      <c r="C244" s="1" t="s">
        <v>74</v>
      </c>
      <c r="D244" s="8">
        <v>757.67809999999997</v>
      </c>
      <c r="E244" s="8">
        <v>-94.641800000000003</v>
      </c>
      <c r="F244" s="8">
        <v>-666.02750000000003</v>
      </c>
      <c r="G244" t="s">
        <v>65</v>
      </c>
      <c r="H244">
        <v>50034</v>
      </c>
      <c r="I244" t="s">
        <v>26</v>
      </c>
      <c r="J244" s="11">
        <v>757.68129903243209</v>
      </c>
      <c r="K244" s="11">
        <v>-94.381921361143156</v>
      </c>
      <c r="L244" s="11">
        <v>-666.02231085619746</v>
      </c>
      <c r="M244" s="13">
        <f t="shared" si="25"/>
        <v>-3.1990324321213848E-3</v>
      </c>
      <c r="N244" s="13">
        <f t="shared" si="26"/>
        <v>-0.25987863885684703</v>
      </c>
      <c r="O244" s="13">
        <f t="shared" si="27"/>
        <v>-5.1891438025677417E-3</v>
      </c>
      <c r="P244" s="13">
        <f t="shared" si="28"/>
        <v>0.2599501259010909</v>
      </c>
      <c r="Q244">
        <v>11</v>
      </c>
      <c r="R244" t="s">
        <v>23</v>
      </c>
      <c r="S244" t="s">
        <v>18</v>
      </c>
      <c r="T244" t="s">
        <v>65</v>
      </c>
      <c r="U244">
        <v>50034</v>
      </c>
      <c r="V244" t="s">
        <v>26</v>
      </c>
      <c r="W244" s="11">
        <v>757.66317303113215</v>
      </c>
      <c r="X244" s="11">
        <v>-94.639190942248263</v>
      </c>
      <c r="Y244" s="11">
        <v>-666.02381425643421</v>
      </c>
      <c r="Z244" s="13">
        <f t="shared" si="29"/>
        <v>1.4926968867825963E-2</v>
      </c>
      <c r="AA244" s="13">
        <f t="shared" si="30"/>
        <v>-2.6090577517408065E-3</v>
      </c>
      <c r="AB244" s="13">
        <f t="shared" si="31"/>
        <v>-3.6857435658248505E-3</v>
      </c>
      <c r="AC244" s="13">
        <f t="shared" si="32"/>
        <v>1.5595072541222228E-2</v>
      </c>
      <c r="AD244">
        <v>11</v>
      </c>
      <c r="AE244" t="s">
        <v>23</v>
      </c>
      <c r="AF244" t="s">
        <v>68</v>
      </c>
    </row>
    <row r="245" spans="1:32" x14ac:dyDescent="0.3">
      <c r="A245" s="1" t="s">
        <v>99</v>
      </c>
      <c r="B245" s="1">
        <v>37</v>
      </c>
      <c r="C245" s="1" t="s">
        <v>79</v>
      </c>
      <c r="D245" s="8">
        <v>33.268999999999998</v>
      </c>
      <c r="E245" s="8">
        <v>-98.502399999999994</v>
      </c>
      <c r="F245" s="8">
        <v>-391.03160000000003</v>
      </c>
      <c r="G245" t="s">
        <v>65</v>
      </c>
      <c r="H245">
        <v>50037</v>
      </c>
      <c r="I245" t="s">
        <v>27</v>
      </c>
      <c r="J245" s="11">
        <v>33.268977308963201</v>
      </c>
      <c r="K245" s="11">
        <v>-98.492330025581339</v>
      </c>
      <c r="L245" s="11">
        <v>-391.04655654321277</v>
      </c>
      <c r="M245" s="13">
        <f t="shared" si="25"/>
        <v>2.2691036797084507E-5</v>
      </c>
      <c r="N245" s="13">
        <f t="shared" si="26"/>
        <v>-1.0069974418655647E-2</v>
      </c>
      <c r="O245" s="13">
        <f t="shared" si="27"/>
        <v>1.495654321274742E-2</v>
      </c>
      <c r="P245" s="13">
        <f t="shared" si="28"/>
        <v>1.8030615201659397E-2</v>
      </c>
      <c r="Q245">
        <v>11</v>
      </c>
      <c r="R245" t="s">
        <v>23</v>
      </c>
      <c r="S245" t="s">
        <v>18</v>
      </c>
      <c r="T245" t="s">
        <v>65</v>
      </c>
      <c r="U245">
        <v>50037</v>
      </c>
      <c r="V245" t="s">
        <v>27</v>
      </c>
      <c r="W245" s="11">
        <v>33.259645207167928</v>
      </c>
      <c r="X245" s="11">
        <v>-98.5751155149228</v>
      </c>
      <c r="Y245" s="11">
        <v>-391.02234124561039</v>
      </c>
      <c r="Z245" s="13">
        <f t="shared" si="29"/>
        <v>9.3547928320703022E-3</v>
      </c>
      <c r="AA245" s="13">
        <f t="shared" si="30"/>
        <v>7.2715514922805369E-2</v>
      </c>
      <c r="AB245" s="13">
        <f t="shared" si="31"/>
        <v>-9.258754389634305E-3</v>
      </c>
      <c r="AC245" s="13">
        <f t="shared" si="32"/>
        <v>7.3897109498729754E-2</v>
      </c>
      <c r="AD245">
        <v>11</v>
      </c>
      <c r="AE245" t="s">
        <v>23</v>
      </c>
      <c r="AF245" t="s">
        <v>68</v>
      </c>
    </row>
    <row r="246" spans="1:32" x14ac:dyDescent="0.3">
      <c r="A246" s="1" t="s">
        <v>99</v>
      </c>
      <c r="B246" s="1">
        <v>4</v>
      </c>
      <c r="C246" s="1" t="s">
        <v>88</v>
      </c>
      <c r="D246" s="8">
        <v>1045.2923000000001</v>
      </c>
      <c r="E246" s="8">
        <v>-512.28610000000003</v>
      </c>
      <c r="F246" s="8">
        <v>-1106.1756</v>
      </c>
      <c r="G246" t="s">
        <v>65</v>
      </c>
      <c r="H246">
        <v>50004</v>
      </c>
      <c r="I246" t="s">
        <v>29</v>
      </c>
      <c r="J246" s="11">
        <v>1045.4823032831509</v>
      </c>
      <c r="K246" s="11">
        <v>-511.92223837530531</v>
      </c>
      <c r="L246" s="11">
        <v>-1106.193927491574</v>
      </c>
      <c r="M246" s="13">
        <f t="shared" si="25"/>
        <v>-0.19000328315087245</v>
      </c>
      <c r="N246" s="13">
        <f t="shared" si="26"/>
        <v>-0.36386162469472083</v>
      </c>
      <c r="O246" s="13">
        <f t="shared" si="27"/>
        <v>1.8327491573927546E-2</v>
      </c>
      <c r="P246" s="13">
        <f t="shared" si="28"/>
        <v>0.41089223219840126</v>
      </c>
      <c r="Q246">
        <v>11</v>
      </c>
      <c r="R246" t="s">
        <v>23</v>
      </c>
      <c r="S246" t="s">
        <v>18</v>
      </c>
      <c r="T246" t="s">
        <v>65</v>
      </c>
      <c r="U246">
        <v>50004</v>
      </c>
      <c r="V246" t="s">
        <v>29</v>
      </c>
      <c r="W246" s="11">
        <v>1045.3668637016669</v>
      </c>
      <c r="X246" s="11">
        <v>-512.28766618662291</v>
      </c>
      <c r="Y246" s="11">
        <v>-1106.1564351470161</v>
      </c>
      <c r="Z246" s="13">
        <f t="shared" si="29"/>
        <v>-7.4563701666875204E-2</v>
      </c>
      <c r="AA246" s="13">
        <f t="shared" si="30"/>
        <v>1.566186622881105E-3</v>
      </c>
      <c r="AB246" s="13">
        <f t="shared" si="31"/>
        <v>-1.9164852983976743E-2</v>
      </c>
      <c r="AC246" s="13">
        <f t="shared" si="32"/>
        <v>7.700318264008249E-2</v>
      </c>
      <c r="AD246">
        <v>11</v>
      </c>
      <c r="AE246" t="s">
        <v>23</v>
      </c>
      <c r="AF246" t="s">
        <v>68</v>
      </c>
    </row>
    <row r="247" spans="1:32" x14ac:dyDescent="0.3">
      <c r="A247" s="1" t="s">
        <v>99</v>
      </c>
      <c r="B247" s="1">
        <v>42</v>
      </c>
      <c r="C247" s="1" t="s">
        <v>90</v>
      </c>
      <c r="D247" s="8">
        <v>1083.1405999999999</v>
      </c>
      <c r="E247" s="8">
        <v>-97.120099999999994</v>
      </c>
      <c r="F247" s="8">
        <v>-356.82240000000002</v>
      </c>
      <c r="G247" t="s">
        <v>65</v>
      </c>
      <c r="H247">
        <v>50042</v>
      </c>
      <c r="I247" t="s">
        <v>28</v>
      </c>
      <c r="J247" s="11">
        <v>1083.14867222828</v>
      </c>
      <c r="K247" s="11">
        <v>-96.82919074257282</v>
      </c>
      <c r="L247" s="11">
        <v>-356.81946661787362</v>
      </c>
      <c r="M247" s="13">
        <f t="shared" si="25"/>
        <v>-8.0722282800707035E-3</v>
      </c>
      <c r="N247" s="13">
        <f t="shared" si="26"/>
        <v>-0.29090925742717388</v>
      </c>
      <c r="O247" s="13">
        <f t="shared" si="27"/>
        <v>-2.9333821264003745E-3</v>
      </c>
      <c r="P247" s="13">
        <f t="shared" si="28"/>
        <v>0.29103601436408993</v>
      </c>
      <c r="Q247">
        <v>11</v>
      </c>
      <c r="R247" t="s">
        <v>23</v>
      </c>
      <c r="S247" t="s">
        <v>18</v>
      </c>
      <c r="T247" t="s">
        <v>65</v>
      </c>
      <c r="U247">
        <v>50042</v>
      </c>
      <c r="V247" t="s">
        <v>28</v>
      </c>
      <c r="W247" s="11">
        <v>1083.140838977024</v>
      </c>
      <c r="X247" s="11">
        <v>-97.114051843139578</v>
      </c>
      <c r="Y247" s="11">
        <v>-356.83202416259081</v>
      </c>
      <c r="Z247" s="13">
        <f t="shared" si="29"/>
        <v>-2.3897702408248733E-4</v>
      </c>
      <c r="AA247" s="13">
        <f t="shared" si="30"/>
        <v>-6.0481568604160429E-3</v>
      </c>
      <c r="AB247" s="13">
        <f t="shared" si="31"/>
        <v>9.624162590796459E-3</v>
      </c>
      <c r="AC247" s="13">
        <f t="shared" si="32"/>
        <v>1.1369336700103616E-2</v>
      </c>
      <c r="AD247">
        <v>11</v>
      </c>
      <c r="AE247" t="s">
        <v>23</v>
      </c>
      <c r="AF247" t="s">
        <v>68</v>
      </c>
    </row>
    <row r="248" spans="1:32" x14ac:dyDescent="0.3">
      <c r="A248" s="1" t="s">
        <v>99</v>
      </c>
      <c r="B248" s="1">
        <v>506</v>
      </c>
      <c r="C248" s="1" t="s">
        <v>82</v>
      </c>
      <c r="D248" s="8">
        <v>1148.4187999999999</v>
      </c>
      <c r="E248" s="8">
        <v>-23.689800000000002</v>
      </c>
      <c r="F248" s="8">
        <v>-460.8254</v>
      </c>
      <c r="G248" t="s">
        <v>65</v>
      </c>
      <c r="H248">
        <v>50506</v>
      </c>
      <c r="I248" t="s">
        <v>30</v>
      </c>
      <c r="J248" s="11">
        <v>1148.442570992353</v>
      </c>
      <c r="K248" s="11">
        <v>-23.36827638080176</v>
      </c>
      <c r="L248" s="11">
        <v>-460.78674346116492</v>
      </c>
      <c r="M248" s="13">
        <f t="shared" si="25"/>
        <v>-2.3770992353092879E-2</v>
      </c>
      <c r="N248" s="13">
        <f t="shared" si="26"/>
        <v>-0.32152361919824202</v>
      </c>
      <c r="O248" s="13">
        <f t="shared" si="27"/>
        <v>-3.8656538835084575E-2</v>
      </c>
      <c r="P248" s="13">
        <f t="shared" si="28"/>
        <v>0.32471037213876514</v>
      </c>
      <c r="Q248">
        <v>11</v>
      </c>
      <c r="R248" t="s">
        <v>23</v>
      </c>
      <c r="S248" t="s">
        <v>18</v>
      </c>
      <c r="T248" t="s">
        <v>65</v>
      </c>
      <c r="U248">
        <v>50506</v>
      </c>
      <c r="V248" t="s">
        <v>30</v>
      </c>
      <c r="W248" s="11">
        <v>1148.4455321066359</v>
      </c>
      <c r="X248" s="11">
        <v>-23.67816179692381</v>
      </c>
      <c r="Y248" s="11">
        <v>-460.81019935939509</v>
      </c>
      <c r="Z248" s="13">
        <f t="shared" si="29"/>
        <v>-2.6732106636018216E-2</v>
      </c>
      <c r="AA248" s="13">
        <f t="shared" si="30"/>
        <v>-1.16382030761919E-2</v>
      </c>
      <c r="AB248" s="13">
        <f t="shared" si="31"/>
        <v>-1.5200640604916771E-2</v>
      </c>
      <c r="AC248" s="13">
        <f t="shared" si="32"/>
        <v>3.2880279360765416E-2</v>
      </c>
      <c r="AD248">
        <v>11</v>
      </c>
      <c r="AE248" t="s">
        <v>23</v>
      </c>
      <c r="AF248" t="s">
        <v>68</v>
      </c>
    </row>
    <row r="249" spans="1:32" x14ac:dyDescent="0.3">
      <c r="A249" s="1" t="s">
        <v>99</v>
      </c>
      <c r="B249" s="1">
        <v>507</v>
      </c>
      <c r="C249" s="1" t="s">
        <v>83</v>
      </c>
      <c r="D249" s="8">
        <v>676.3451</v>
      </c>
      <c r="E249" s="8">
        <v>-27.020199999999999</v>
      </c>
      <c r="F249" s="8">
        <v>-1093.9774</v>
      </c>
      <c r="G249" t="s">
        <v>65</v>
      </c>
      <c r="H249">
        <v>50507</v>
      </c>
      <c r="I249" t="s">
        <v>31</v>
      </c>
      <c r="J249" s="11">
        <v>676.42126836714317</v>
      </c>
      <c r="K249" s="11">
        <v>-26.718586271553239</v>
      </c>
      <c r="L249" s="11">
        <v>-1093.9777040687261</v>
      </c>
      <c r="M249" s="13">
        <f t="shared" si="25"/>
        <v>-7.6168367143168325E-2</v>
      </c>
      <c r="N249" s="13">
        <f t="shared" si="26"/>
        <v>-0.30161372844676038</v>
      </c>
      <c r="O249" s="13">
        <f t="shared" si="27"/>
        <v>3.0406872610910796E-4</v>
      </c>
      <c r="P249" s="13">
        <f t="shared" si="28"/>
        <v>0.31108287287892078</v>
      </c>
      <c r="Q249">
        <v>11</v>
      </c>
      <c r="R249" t="s">
        <v>23</v>
      </c>
      <c r="S249" t="s">
        <v>18</v>
      </c>
      <c r="T249" t="s">
        <v>65</v>
      </c>
      <c r="U249">
        <v>50507</v>
      </c>
      <c r="V249" t="s">
        <v>31</v>
      </c>
      <c r="W249" s="11">
        <v>676.40150652522152</v>
      </c>
      <c r="X249" s="11">
        <v>-27.010145211813889</v>
      </c>
      <c r="Y249" s="11">
        <v>-1093.9843168838761</v>
      </c>
      <c r="Z249" s="13">
        <f t="shared" si="29"/>
        <v>-5.6406525221518677E-2</v>
      </c>
      <c r="AA249" s="13">
        <f t="shared" si="30"/>
        <v>-1.0054788186110386E-2</v>
      </c>
      <c r="AB249" s="13">
        <f t="shared" si="31"/>
        <v>6.916883876101565E-3</v>
      </c>
      <c r="AC249" s="13">
        <f t="shared" si="32"/>
        <v>5.7711681101739201E-2</v>
      </c>
      <c r="AD249">
        <v>11</v>
      </c>
      <c r="AE249" t="s">
        <v>23</v>
      </c>
      <c r="AF249" t="s">
        <v>68</v>
      </c>
    </row>
    <row r="250" spans="1:32" x14ac:dyDescent="0.3">
      <c r="A250" s="1" t="s">
        <v>99</v>
      </c>
      <c r="B250" s="1">
        <v>509</v>
      </c>
      <c r="C250" s="1" t="s">
        <v>97</v>
      </c>
      <c r="D250" s="8">
        <v>487.93810000000002</v>
      </c>
      <c r="E250" s="8">
        <v>-402.26679999999999</v>
      </c>
      <c r="F250" s="8">
        <v>438.96660000000003</v>
      </c>
      <c r="G250" t="s">
        <v>65</v>
      </c>
      <c r="H250">
        <v>50509</v>
      </c>
      <c r="I250" t="s">
        <v>32</v>
      </c>
      <c r="J250" s="11">
        <v>488.00200028102142</v>
      </c>
      <c r="K250" s="11">
        <v>-402.18544741009651</v>
      </c>
      <c r="L250" s="11">
        <v>438.88785304118858</v>
      </c>
      <c r="M250" s="13">
        <f t="shared" si="25"/>
        <v>-6.3900281021403771E-2</v>
      </c>
      <c r="N250" s="13">
        <f t="shared" si="26"/>
        <v>-8.1352589903474382E-2</v>
      </c>
      <c r="O250" s="13">
        <f t="shared" si="27"/>
        <v>7.874695881145044E-2</v>
      </c>
      <c r="P250" s="13">
        <f t="shared" si="28"/>
        <v>0.13000989701045659</v>
      </c>
      <c r="Q250">
        <v>11</v>
      </c>
      <c r="R250" t="s">
        <v>23</v>
      </c>
      <c r="S250" t="s">
        <v>18</v>
      </c>
      <c r="T250" t="s">
        <v>65</v>
      </c>
      <c r="U250">
        <v>50509</v>
      </c>
      <c r="V250" t="s">
        <v>32</v>
      </c>
      <c r="W250" s="11">
        <v>487.96197844915741</v>
      </c>
      <c r="X250" s="11">
        <v>-402.26006125112741</v>
      </c>
      <c r="Y250" s="11">
        <v>438.93187304438811</v>
      </c>
      <c r="Z250" s="13">
        <f t="shared" si="29"/>
        <v>-2.3878449157393788E-2</v>
      </c>
      <c r="AA250" s="13">
        <f t="shared" si="30"/>
        <v>-6.7387488725785261E-3</v>
      </c>
      <c r="AB250" s="13">
        <f t="shared" si="31"/>
        <v>3.4726955611915855E-2</v>
      </c>
      <c r="AC250" s="13">
        <f t="shared" si="32"/>
        <v>4.2679649911894692E-2</v>
      </c>
      <c r="AD250">
        <v>11</v>
      </c>
      <c r="AE250" t="s">
        <v>23</v>
      </c>
      <c r="AF250" t="s">
        <v>68</v>
      </c>
    </row>
    <row r="251" spans="1:32" x14ac:dyDescent="0.3">
      <c r="A251" s="1" t="s">
        <v>99</v>
      </c>
      <c r="B251" s="1">
        <v>57</v>
      </c>
      <c r="C251" s="1" t="s">
        <v>91</v>
      </c>
      <c r="D251" s="8">
        <v>381.59300000000002</v>
      </c>
      <c r="E251" s="8">
        <v>-99.370099999999994</v>
      </c>
      <c r="F251" s="8">
        <v>-132.3844</v>
      </c>
      <c r="G251" t="s">
        <v>65</v>
      </c>
      <c r="H251">
        <v>50057</v>
      </c>
      <c r="I251" t="s">
        <v>33</v>
      </c>
      <c r="J251" s="11">
        <v>381.5990385010673</v>
      </c>
      <c r="K251" s="11">
        <v>-99.278010759483138</v>
      </c>
      <c r="L251" s="11">
        <v>-132.4130307424777</v>
      </c>
      <c r="M251" s="13">
        <f t="shared" si="25"/>
        <v>-6.0385010672803219E-3</v>
      </c>
      <c r="N251" s="13">
        <f t="shared" si="26"/>
        <v>-9.2089240516855853E-2</v>
      </c>
      <c r="O251" s="13">
        <f t="shared" si="27"/>
        <v>2.8630742477702142E-2</v>
      </c>
      <c r="P251" s="13">
        <f t="shared" si="28"/>
        <v>9.6626141022682729E-2</v>
      </c>
      <c r="Q251">
        <v>11</v>
      </c>
      <c r="R251" t="s">
        <v>23</v>
      </c>
      <c r="S251" t="s">
        <v>18</v>
      </c>
      <c r="T251" t="s">
        <v>65</v>
      </c>
      <c r="U251">
        <v>50057</v>
      </c>
      <c r="V251" t="s">
        <v>33</v>
      </c>
      <c r="W251" s="11">
        <v>381.59856188398868</v>
      </c>
      <c r="X251" s="11">
        <v>-99.398812305862265</v>
      </c>
      <c r="Y251" s="11">
        <v>-132.4008608066388</v>
      </c>
      <c r="Z251" s="13">
        <f t="shared" si="29"/>
        <v>-5.5618839886619753E-3</v>
      </c>
      <c r="AA251" s="13">
        <f t="shared" si="30"/>
        <v>2.8712305862271137E-2</v>
      </c>
      <c r="AB251" s="13">
        <f t="shared" si="31"/>
        <v>1.6460806638804115E-2</v>
      </c>
      <c r="AC251" s="13">
        <f t="shared" si="32"/>
        <v>3.3560232666536176E-2</v>
      </c>
      <c r="AD251">
        <v>11</v>
      </c>
      <c r="AE251" t="s">
        <v>23</v>
      </c>
      <c r="AF251" t="s">
        <v>68</v>
      </c>
    </row>
    <row r="252" spans="1:32" x14ac:dyDescent="0.3">
      <c r="A252" s="1" t="s">
        <v>99</v>
      </c>
      <c r="B252" s="1">
        <v>87</v>
      </c>
      <c r="C252" s="1" t="s">
        <v>86</v>
      </c>
      <c r="D252" s="8">
        <v>1198.0494000000001</v>
      </c>
      <c r="E252" s="8">
        <v>-631.09619999999995</v>
      </c>
      <c r="F252" s="8">
        <v>-976.42179999999996</v>
      </c>
      <c r="G252" t="s">
        <v>65</v>
      </c>
      <c r="H252">
        <v>50087</v>
      </c>
      <c r="I252" t="s">
        <v>34</v>
      </c>
      <c r="J252" s="11">
        <v>1198.3098395741499</v>
      </c>
      <c r="K252" s="11">
        <v>-630.65805172474222</v>
      </c>
      <c r="L252" s="11">
        <v>-976.48176211788734</v>
      </c>
      <c r="M252" s="13">
        <f t="shared" si="25"/>
        <v>-0.26043957414981378</v>
      </c>
      <c r="N252" s="13">
        <f t="shared" si="26"/>
        <v>-0.43814827525773126</v>
      </c>
      <c r="O252" s="13">
        <f t="shared" si="27"/>
        <v>5.9962117887380373E-2</v>
      </c>
      <c r="P252" s="13">
        <f t="shared" si="28"/>
        <v>0.51322328325612931</v>
      </c>
      <c r="Q252">
        <v>11</v>
      </c>
      <c r="R252" t="s">
        <v>23</v>
      </c>
      <c r="S252" t="s">
        <v>18</v>
      </c>
      <c r="T252" t="s">
        <v>65</v>
      </c>
      <c r="U252">
        <v>50087</v>
      </c>
      <c r="V252" t="s">
        <v>34</v>
      </c>
      <c r="W252" s="11">
        <v>1198.1756114527209</v>
      </c>
      <c r="X252" s="11">
        <v>-631.03824945621466</v>
      </c>
      <c r="Y252" s="11">
        <v>-976.4356555843475</v>
      </c>
      <c r="Z252" s="13">
        <f t="shared" si="29"/>
        <v>-0.12621145272078138</v>
      </c>
      <c r="AA252" s="13">
        <f t="shared" si="30"/>
        <v>-5.7950543785295849E-2</v>
      </c>
      <c r="AB252" s="13">
        <f t="shared" si="31"/>
        <v>1.3855584347538752E-2</v>
      </c>
      <c r="AC252" s="13">
        <f t="shared" si="32"/>
        <v>0.13956924281700925</v>
      </c>
      <c r="AD252">
        <v>11</v>
      </c>
      <c r="AE252" t="s">
        <v>23</v>
      </c>
      <c r="AF252" t="s">
        <v>68</v>
      </c>
    </row>
    <row r="253" spans="1:32" x14ac:dyDescent="0.3">
      <c r="A253" s="1" t="s">
        <v>99</v>
      </c>
      <c r="B253" s="1">
        <v>92</v>
      </c>
      <c r="C253" s="1" t="s">
        <v>92</v>
      </c>
      <c r="D253" s="8">
        <v>532.42719999999997</v>
      </c>
      <c r="E253" s="8">
        <v>-93.989099999999993</v>
      </c>
      <c r="F253" s="8">
        <v>-862.53150000000005</v>
      </c>
      <c r="G253" t="s">
        <v>65</v>
      </c>
      <c r="H253">
        <v>50092</v>
      </c>
      <c r="I253" t="s">
        <v>35</v>
      </c>
      <c r="J253" s="11">
        <v>532.46136446714445</v>
      </c>
      <c r="K253" s="11">
        <v>-93.924657092469388</v>
      </c>
      <c r="L253" s="11">
        <v>-862.53366629912398</v>
      </c>
      <c r="M253" s="13">
        <f t="shared" si="25"/>
        <v>-3.4164467144478294E-2</v>
      </c>
      <c r="N253" s="13">
        <f t="shared" si="26"/>
        <v>-6.4442907530604998E-2</v>
      </c>
      <c r="O253" s="13">
        <f t="shared" si="27"/>
        <v>2.1662991239281837E-3</v>
      </c>
      <c r="P253" s="13">
        <f t="shared" si="28"/>
        <v>7.2971172377580551E-2</v>
      </c>
      <c r="Q253">
        <v>11</v>
      </c>
      <c r="R253" t="s">
        <v>23</v>
      </c>
      <c r="S253" t="s">
        <v>18</v>
      </c>
      <c r="T253" t="s">
        <v>65</v>
      </c>
      <c r="U253">
        <v>50092</v>
      </c>
      <c r="V253" t="s">
        <v>35</v>
      </c>
      <c r="W253" s="11">
        <v>532.43648180678781</v>
      </c>
      <c r="X253" s="11">
        <v>-94.160784657711332</v>
      </c>
      <c r="Y253" s="11">
        <v>-862.52737534829009</v>
      </c>
      <c r="Z253" s="13">
        <f t="shared" si="29"/>
        <v>-9.2818067878397414E-3</v>
      </c>
      <c r="AA253" s="13">
        <f t="shared" si="30"/>
        <v>0.17168465771133867</v>
      </c>
      <c r="AB253" s="13">
        <f t="shared" si="31"/>
        <v>-4.124651709958016E-3</v>
      </c>
      <c r="AC253" s="13">
        <f t="shared" si="32"/>
        <v>0.1719848434671927</v>
      </c>
      <c r="AD253">
        <v>11</v>
      </c>
      <c r="AE253" t="s">
        <v>23</v>
      </c>
      <c r="AF253" t="s">
        <v>68</v>
      </c>
    </row>
    <row r="254" spans="1:32" x14ac:dyDescent="0.3">
      <c r="A254" s="1" t="s">
        <v>99</v>
      </c>
      <c r="B254" s="1">
        <v>96</v>
      </c>
      <c r="C254" s="1" t="s">
        <v>84</v>
      </c>
      <c r="D254" s="8">
        <v>424.7013</v>
      </c>
      <c r="E254" s="8">
        <v>2.5985</v>
      </c>
      <c r="F254" s="8">
        <v>303.87709999999998</v>
      </c>
      <c r="G254" t="s">
        <v>65</v>
      </c>
      <c r="H254">
        <v>50096</v>
      </c>
      <c r="I254" t="s">
        <v>36</v>
      </c>
      <c r="J254" s="11">
        <v>424.69294287142338</v>
      </c>
      <c r="K254" s="11">
        <v>2.618872475156198</v>
      </c>
      <c r="L254" s="11">
        <v>303.87601336260292</v>
      </c>
      <c r="M254" s="13">
        <f t="shared" si="25"/>
        <v>8.3571285766197434E-3</v>
      </c>
      <c r="N254" s="13">
        <f t="shared" si="26"/>
        <v>-2.0372475156198E-2</v>
      </c>
      <c r="O254" s="13">
        <f t="shared" si="27"/>
        <v>1.086637397065715E-3</v>
      </c>
      <c r="P254" s="13">
        <f t="shared" si="28"/>
        <v>2.2046771257233127E-2</v>
      </c>
      <c r="Q254">
        <v>11</v>
      </c>
      <c r="R254" t="s">
        <v>23</v>
      </c>
      <c r="S254" t="s">
        <v>18</v>
      </c>
      <c r="T254" t="s">
        <v>65</v>
      </c>
      <c r="U254">
        <v>50096</v>
      </c>
      <c r="V254" t="s">
        <v>36</v>
      </c>
      <c r="W254" s="11">
        <v>424.72767772106317</v>
      </c>
      <c r="X254" s="11">
        <v>2.5408262586787762</v>
      </c>
      <c r="Y254" s="11">
        <v>303.87471594432128</v>
      </c>
      <c r="Z254" s="13">
        <f t="shared" si="29"/>
        <v>-2.6377721063170156E-2</v>
      </c>
      <c r="AA254" s="13">
        <f t="shared" si="30"/>
        <v>5.7673741321223826E-2</v>
      </c>
      <c r="AB254" s="13">
        <f t="shared" si="31"/>
        <v>2.3840556787035894E-3</v>
      </c>
      <c r="AC254" s="13">
        <f t="shared" si="32"/>
        <v>6.3464386296197731E-2</v>
      </c>
      <c r="AD254">
        <v>11</v>
      </c>
      <c r="AE254" t="s">
        <v>23</v>
      </c>
      <c r="AF254" t="s">
        <v>68</v>
      </c>
    </row>
    <row r="255" spans="1:32" x14ac:dyDescent="0.3">
      <c r="A255" s="1" t="s">
        <v>101</v>
      </c>
      <c r="B255" s="1">
        <v>1013</v>
      </c>
      <c r="C255" s="1" t="s">
        <v>75</v>
      </c>
      <c r="D255" s="8">
        <v>575.44849999999997</v>
      </c>
      <c r="E255" s="8">
        <v>-53.409300000000002</v>
      </c>
      <c r="F255" s="8">
        <v>347.38310000000001</v>
      </c>
      <c r="G255" t="s">
        <v>66</v>
      </c>
      <c r="H255">
        <v>51008</v>
      </c>
      <c r="I255" t="s">
        <v>16</v>
      </c>
      <c r="J255" s="11">
        <v>575.4459998578435</v>
      </c>
      <c r="K255" s="11">
        <v>-53.260896665155897</v>
      </c>
      <c r="L255" s="11">
        <v>347.39474028561358</v>
      </c>
      <c r="M255" s="13">
        <f t="shared" si="25"/>
        <v>2.5001421564638804E-3</v>
      </c>
      <c r="N255" s="13">
        <f t="shared" si="26"/>
        <v>-0.14840333484410451</v>
      </c>
      <c r="O255" s="13">
        <f t="shared" si="27"/>
        <v>-1.1640285613566448E-2</v>
      </c>
      <c r="P255" s="13">
        <f t="shared" si="28"/>
        <v>0.14888014223804105</v>
      </c>
      <c r="Q255">
        <v>12</v>
      </c>
      <c r="R255" t="s">
        <v>17</v>
      </c>
      <c r="S255" t="s">
        <v>18</v>
      </c>
      <c r="T255" t="s">
        <v>66</v>
      </c>
      <c r="U255">
        <v>1013</v>
      </c>
      <c r="V255" s="6" t="s">
        <v>42</v>
      </c>
      <c r="W255" s="11">
        <v>575.44849999999997</v>
      </c>
      <c r="X255" s="11">
        <v>-53.409300000000002</v>
      </c>
      <c r="Y255" s="11">
        <v>347.38310000000001</v>
      </c>
      <c r="Z255" s="13"/>
      <c r="AA255" s="13"/>
      <c r="AB255" s="13"/>
      <c r="AC255" s="13"/>
      <c r="AD255">
        <v>12</v>
      </c>
      <c r="AE255" t="s">
        <v>17</v>
      </c>
    </row>
    <row r="256" spans="1:32" x14ac:dyDescent="0.3">
      <c r="A256" s="1" t="s">
        <v>101</v>
      </c>
      <c r="B256" s="1">
        <v>1014</v>
      </c>
      <c r="C256" s="1" t="s">
        <v>76</v>
      </c>
      <c r="D256" s="8">
        <v>1296.7180000000001</v>
      </c>
      <c r="E256" s="8">
        <v>-47.238</v>
      </c>
      <c r="F256" s="8">
        <v>-489.10419999999999</v>
      </c>
      <c r="G256" t="s">
        <v>66</v>
      </c>
      <c r="H256">
        <v>51011</v>
      </c>
      <c r="I256" t="s">
        <v>19</v>
      </c>
      <c r="J256" s="11">
        <v>1296.766769969121</v>
      </c>
      <c r="K256" s="11">
        <v>-46.815876828375508</v>
      </c>
      <c r="L256" s="11">
        <v>-489.08766179320298</v>
      </c>
      <c r="M256" s="13">
        <f t="shared" si="25"/>
        <v>-4.8769969120940004E-2</v>
      </c>
      <c r="N256" s="13">
        <f t="shared" si="26"/>
        <v>-0.42212317162449153</v>
      </c>
      <c r="O256" s="13">
        <f t="shared" si="27"/>
        <v>-1.653820679700857E-2</v>
      </c>
      <c r="P256" s="13">
        <f t="shared" si="28"/>
        <v>0.42525285912553012</v>
      </c>
      <c r="Q256">
        <v>12</v>
      </c>
      <c r="R256" t="s">
        <v>17</v>
      </c>
      <c r="S256" t="s">
        <v>18</v>
      </c>
      <c r="T256" t="s">
        <v>66</v>
      </c>
      <c r="U256">
        <v>1014</v>
      </c>
      <c r="V256" s="6" t="s">
        <v>43</v>
      </c>
      <c r="W256" s="11">
        <v>1296.7180000000001</v>
      </c>
      <c r="X256" s="11">
        <v>-47.238</v>
      </c>
      <c r="Y256" s="11">
        <v>-489.10419999999999</v>
      </c>
      <c r="Z256" s="13"/>
      <c r="AA256" s="13"/>
      <c r="AB256" s="13"/>
      <c r="AC256" s="13"/>
      <c r="AD256">
        <v>12</v>
      </c>
      <c r="AE256" t="s">
        <v>17</v>
      </c>
    </row>
    <row r="257" spans="1:32" x14ac:dyDescent="0.3">
      <c r="A257" s="1" t="s">
        <v>101</v>
      </c>
      <c r="B257" s="1">
        <v>1020</v>
      </c>
      <c r="C257" s="1" t="s">
        <v>77</v>
      </c>
      <c r="D257" s="8">
        <v>604.82280000000003</v>
      </c>
      <c r="E257" s="8">
        <v>-44.2699</v>
      </c>
      <c r="F257" s="8">
        <v>-1114.9051999999999</v>
      </c>
      <c r="G257" t="s">
        <v>66</v>
      </c>
      <c r="H257">
        <v>51024</v>
      </c>
      <c r="I257" t="s">
        <v>20</v>
      </c>
      <c r="J257" s="11">
        <v>604.84768642363144</v>
      </c>
      <c r="K257" s="11">
        <v>-44.175590573171</v>
      </c>
      <c r="L257" s="11">
        <v>-1114.9107915579309</v>
      </c>
      <c r="M257" s="13">
        <f t="shared" si="25"/>
        <v>-2.48864236314148E-2</v>
      </c>
      <c r="N257" s="13">
        <f t="shared" si="26"/>
        <v>-9.4309426828999676E-2</v>
      </c>
      <c r="O257" s="13">
        <f t="shared" si="27"/>
        <v>5.5915579309839814E-3</v>
      </c>
      <c r="P257" s="13">
        <f t="shared" si="28"/>
        <v>9.7697838205726098E-2</v>
      </c>
      <c r="Q257">
        <v>12</v>
      </c>
      <c r="R257" t="s">
        <v>17</v>
      </c>
      <c r="S257" t="s">
        <v>18</v>
      </c>
      <c r="T257" t="s">
        <v>66</v>
      </c>
      <c r="U257">
        <v>1020</v>
      </c>
      <c r="V257" s="6" t="s">
        <v>44</v>
      </c>
      <c r="W257" s="11">
        <v>604.82280000000003</v>
      </c>
      <c r="X257" s="11">
        <v>-44.2699</v>
      </c>
      <c r="Y257" s="11">
        <v>-1114.9051999999999</v>
      </c>
      <c r="Z257" s="13"/>
      <c r="AA257" s="13"/>
      <c r="AB257" s="13"/>
      <c r="AC257" s="13"/>
      <c r="AD257">
        <v>12</v>
      </c>
      <c r="AE257" t="s">
        <v>17</v>
      </c>
    </row>
    <row r="258" spans="1:32" x14ac:dyDescent="0.3">
      <c r="A258" s="1" t="s">
        <v>101</v>
      </c>
      <c r="B258" s="1">
        <v>1001</v>
      </c>
      <c r="C258" s="1" t="s">
        <v>78</v>
      </c>
      <c r="D258" s="8">
        <v>-115.65600000000001</v>
      </c>
      <c r="E258" s="8">
        <v>-50.258600000000001</v>
      </c>
      <c r="F258" s="8">
        <v>-283.23450000000003</v>
      </c>
      <c r="G258" t="s">
        <v>66</v>
      </c>
      <c r="H258">
        <v>51003</v>
      </c>
      <c r="I258" t="s">
        <v>21</v>
      </c>
      <c r="J258" s="11">
        <v>-115.66702588404119</v>
      </c>
      <c r="K258" s="11">
        <v>-50.306113498601583</v>
      </c>
      <c r="L258" s="11">
        <v>-283.25699891144592</v>
      </c>
      <c r="M258" s="13">
        <f t="shared" si="25"/>
        <v>1.102588404118876E-2</v>
      </c>
      <c r="N258" s="13">
        <f t="shared" si="26"/>
        <v>4.7513498601581716E-2</v>
      </c>
      <c r="O258" s="13">
        <f t="shared" si="27"/>
        <v>2.2498911445893555E-2</v>
      </c>
      <c r="P258" s="13">
        <f t="shared" si="28"/>
        <v>5.3715022893995018E-2</v>
      </c>
      <c r="Q258">
        <v>12</v>
      </c>
      <c r="R258" t="s">
        <v>17</v>
      </c>
      <c r="S258" t="s">
        <v>18</v>
      </c>
      <c r="T258" t="s">
        <v>66</v>
      </c>
      <c r="U258">
        <v>1001</v>
      </c>
      <c r="V258" s="6" t="s">
        <v>45</v>
      </c>
      <c r="W258" s="11">
        <v>-115.65600000000001</v>
      </c>
      <c r="X258" s="11">
        <v>-50.258600000000001</v>
      </c>
      <c r="Y258" s="11">
        <v>-283.23450000000003</v>
      </c>
      <c r="Z258" s="13"/>
      <c r="AA258" s="13"/>
      <c r="AB258" s="13"/>
      <c r="AC258" s="13"/>
      <c r="AD258">
        <v>12</v>
      </c>
      <c r="AE258" t="s">
        <v>17</v>
      </c>
    </row>
    <row r="259" spans="1:32" x14ac:dyDescent="0.3">
      <c r="A259" s="1" t="s">
        <v>101</v>
      </c>
      <c r="B259" s="1">
        <v>501</v>
      </c>
      <c r="C259" s="1" t="s">
        <v>94</v>
      </c>
      <c r="D259" s="8">
        <v>-9.5100000000000004E-2</v>
      </c>
      <c r="E259" s="8">
        <v>0.68340000000000001</v>
      </c>
      <c r="F259" s="8">
        <v>-0.2792</v>
      </c>
      <c r="G259" t="s">
        <v>66</v>
      </c>
      <c r="H259">
        <v>501</v>
      </c>
      <c r="I259" s="5" t="s">
        <v>10</v>
      </c>
      <c r="J259" s="11">
        <v>-9.5100000000000004E-2</v>
      </c>
      <c r="K259" s="11">
        <v>0.68340000000000001</v>
      </c>
      <c r="L259" s="11">
        <v>-0.2792</v>
      </c>
      <c r="M259" s="13"/>
      <c r="N259" s="13"/>
      <c r="O259" s="13"/>
      <c r="P259" s="13"/>
      <c r="Q259">
        <v>12</v>
      </c>
      <c r="R259" t="s">
        <v>11</v>
      </c>
      <c r="T259" t="s">
        <v>66</v>
      </c>
      <c r="U259">
        <v>50501</v>
      </c>
      <c r="V259" t="s">
        <v>67</v>
      </c>
      <c r="W259" s="11">
        <v>-8.9306221120997009E-2</v>
      </c>
      <c r="X259" s="11">
        <v>0.69601524446945151</v>
      </c>
      <c r="Y259" s="11">
        <v>-0.25239353939715442</v>
      </c>
      <c r="Z259" s="13">
        <f t="shared" ref="Z259:Z277" si="33">D259-W259</f>
        <v>-5.7937788790029948E-3</v>
      </c>
      <c r="AA259" s="13">
        <f t="shared" ref="AA259:AA277" si="34">E259-X259</f>
        <v>-1.2615244469451503E-2</v>
      </c>
      <c r="AB259" s="13">
        <f t="shared" ref="AB259:AB277" si="35">F259-Y259</f>
        <v>-2.6806460602845583E-2</v>
      </c>
      <c r="AC259" s="13">
        <f t="shared" ref="AC259:AC277" si="36">SQRT(Z259*Z259+AA259*AA259+AB259*AB259)</f>
        <v>3.0187722616565833E-2</v>
      </c>
      <c r="AD259">
        <v>12</v>
      </c>
      <c r="AE259" t="s">
        <v>11</v>
      </c>
      <c r="AF259" t="s">
        <v>68</v>
      </c>
    </row>
    <row r="260" spans="1:32" x14ac:dyDescent="0.3">
      <c r="A260" s="1" t="s">
        <v>101</v>
      </c>
      <c r="B260" s="1">
        <v>502</v>
      </c>
      <c r="C260" s="1" t="s">
        <v>85</v>
      </c>
      <c r="D260" s="8">
        <v>172.0881</v>
      </c>
      <c r="E260" s="8">
        <v>0.91190000000000004</v>
      </c>
      <c r="F260" s="8">
        <v>-175.49520000000001</v>
      </c>
      <c r="G260" t="s">
        <v>66</v>
      </c>
      <c r="H260">
        <v>502</v>
      </c>
      <c r="I260" s="5" t="s">
        <v>12</v>
      </c>
      <c r="J260" s="11">
        <v>172.0881</v>
      </c>
      <c r="K260" s="11">
        <v>0.91190000000000004</v>
      </c>
      <c r="L260" s="11">
        <v>-175.49520000000001</v>
      </c>
      <c r="M260" s="13"/>
      <c r="N260" s="13"/>
      <c r="O260" s="13"/>
      <c r="P260" s="13"/>
      <c r="Q260">
        <v>12</v>
      </c>
      <c r="R260" t="s">
        <v>11</v>
      </c>
      <c r="T260" t="s">
        <v>66</v>
      </c>
      <c r="U260">
        <v>50502</v>
      </c>
      <c r="V260" t="s">
        <v>69</v>
      </c>
      <c r="W260" s="11">
        <v>172.09876291884899</v>
      </c>
      <c r="X260" s="11">
        <v>0.90686732995239228</v>
      </c>
      <c r="Y260" s="11">
        <v>-175.47731666184279</v>
      </c>
      <c r="Z260" s="13">
        <f t="shared" si="33"/>
        <v>-1.0662918848993286E-2</v>
      </c>
      <c r="AA260" s="13">
        <f t="shared" si="34"/>
        <v>5.0326700476077679E-3</v>
      </c>
      <c r="AB260" s="13">
        <f t="shared" si="35"/>
        <v>-1.7883338157218986E-2</v>
      </c>
      <c r="AC260" s="13">
        <f t="shared" si="36"/>
        <v>2.1420536637389579E-2</v>
      </c>
      <c r="AD260">
        <v>12</v>
      </c>
      <c r="AE260" t="s">
        <v>11</v>
      </c>
      <c r="AF260" t="s">
        <v>68</v>
      </c>
    </row>
    <row r="261" spans="1:32" x14ac:dyDescent="0.3">
      <c r="A261" s="1" t="s">
        <v>101</v>
      </c>
      <c r="B261" s="1">
        <v>503</v>
      </c>
      <c r="C261" s="1" t="s">
        <v>95</v>
      </c>
      <c r="D261" s="8">
        <v>170.5977</v>
      </c>
      <c r="E261" s="8">
        <v>0.03</v>
      </c>
      <c r="F261" s="8">
        <v>-1.1754</v>
      </c>
      <c r="G261" t="s">
        <v>66</v>
      </c>
      <c r="H261">
        <v>503</v>
      </c>
      <c r="I261" s="5" t="s">
        <v>13</v>
      </c>
      <c r="J261" s="11">
        <v>170.5977</v>
      </c>
      <c r="K261" s="11">
        <v>0.03</v>
      </c>
      <c r="L261" s="11">
        <v>-1.1754</v>
      </c>
      <c r="M261" s="13"/>
      <c r="N261" s="13"/>
      <c r="O261" s="13"/>
      <c r="P261" s="13"/>
      <c r="Q261">
        <v>12</v>
      </c>
      <c r="R261" t="s">
        <v>11</v>
      </c>
      <c r="T261" t="s">
        <v>66</v>
      </c>
      <c r="U261">
        <v>50503</v>
      </c>
      <c r="V261" t="s">
        <v>70</v>
      </c>
      <c r="W261" s="11">
        <v>170.61845592875821</v>
      </c>
      <c r="X261" s="11">
        <v>-1.9850382180031101E-4</v>
      </c>
      <c r="Y261" s="11">
        <v>-1.176478425624558</v>
      </c>
      <c r="Z261" s="13">
        <f t="shared" si="33"/>
        <v>-2.0755928758205755E-2</v>
      </c>
      <c r="AA261" s="13">
        <f t="shared" si="34"/>
        <v>3.019850382180031E-2</v>
      </c>
      <c r="AB261" s="13">
        <f t="shared" si="35"/>
        <v>1.0784256245579549E-3</v>
      </c>
      <c r="AC261" s="13">
        <f t="shared" si="36"/>
        <v>3.6659531005165676E-2</v>
      </c>
      <c r="AD261">
        <v>12</v>
      </c>
      <c r="AE261" t="s">
        <v>11</v>
      </c>
      <c r="AF261" t="s">
        <v>68</v>
      </c>
    </row>
    <row r="262" spans="1:32" x14ac:dyDescent="0.3">
      <c r="A262" s="1" t="s">
        <v>101</v>
      </c>
      <c r="B262" s="1">
        <v>504</v>
      </c>
      <c r="C262" s="1" t="s">
        <v>87</v>
      </c>
      <c r="D262" s="8">
        <v>346.3646</v>
      </c>
      <c r="E262" s="8">
        <v>0.48220000000000002</v>
      </c>
      <c r="F262" s="8">
        <v>-0.14050000000000001</v>
      </c>
      <c r="G262" t="s">
        <v>66</v>
      </c>
      <c r="H262">
        <v>504</v>
      </c>
      <c r="I262" s="5" t="s">
        <v>14</v>
      </c>
      <c r="J262" s="11">
        <v>346.3646</v>
      </c>
      <c r="K262" s="11">
        <v>0.48220000000000002</v>
      </c>
      <c r="L262" s="11">
        <v>-0.14050000000000001</v>
      </c>
      <c r="M262" s="13"/>
      <c r="N262" s="13"/>
      <c r="O262" s="13"/>
      <c r="P262" s="13"/>
      <c r="Q262">
        <v>12</v>
      </c>
      <c r="R262" t="s">
        <v>11</v>
      </c>
      <c r="T262" t="s">
        <v>66</v>
      </c>
      <c r="U262">
        <v>50504</v>
      </c>
      <c r="V262" t="s">
        <v>71</v>
      </c>
      <c r="W262" s="11">
        <v>346.3730816106721</v>
      </c>
      <c r="X262" s="11">
        <v>0.37780195620873308</v>
      </c>
      <c r="Y262" s="11">
        <v>-0.12915131694608731</v>
      </c>
      <c r="Z262" s="13">
        <f t="shared" si="33"/>
        <v>-8.4816106721063989E-3</v>
      </c>
      <c r="AA262" s="13">
        <f t="shared" si="34"/>
        <v>0.10439804379126694</v>
      </c>
      <c r="AB262" s="13">
        <f t="shared" si="35"/>
        <v>-1.1348683053912706E-2</v>
      </c>
      <c r="AC262" s="13">
        <f t="shared" si="36"/>
        <v>0.10535502775897619</v>
      </c>
      <c r="AD262">
        <v>12</v>
      </c>
      <c r="AE262" t="s">
        <v>11</v>
      </c>
      <c r="AF262" t="s">
        <v>68</v>
      </c>
    </row>
    <row r="263" spans="1:32" x14ac:dyDescent="0.3">
      <c r="A263" s="1" t="s">
        <v>101</v>
      </c>
      <c r="B263" s="1">
        <v>505</v>
      </c>
      <c r="C263" s="1" t="s">
        <v>96</v>
      </c>
      <c r="D263" s="8">
        <v>169.7251</v>
      </c>
      <c r="E263" s="8">
        <v>0.29599999999999999</v>
      </c>
      <c r="F263" s="8">
        <v>174.93029999999999</v>
      </c>
      <c r="G263" t="s">
        <v>66</v>
      </c>
      <c r="H263">
        <v>505</v>
      </c>
      <c r="I263" s="5" t="s">
        <v>15</v>
      </c>
      <c r="J263" s="11">
        <v>169.7251</v>
      </c>
      <c r="K263" s="11">
        <v>0.29599999999999999</v>
      </c>
      <c r="L263" s="11">
        <v>174.93029999999999</v>
      </c>
      <c r="M263" s="13"/>
      <c r="N263" s="13"/>
      <c r="O263" s="13"/>
      <c r="P263" s="13"/>
      <c r="Q263">
        <v>12</v>
      </c>
      <c r="R263" t="s">
        <v>11</v>
      </c>
      <c r="T263" t="s">
        <v>66</v>
      </c>
      <c r="U263">
        <v>50505</v>
      </c>
      <c r="V263" t="s">
        <v>72</v>
      </c>
      <c r="W263" s="11">
        <v>169.73912088634791</v>
      </c>
      <c r="X263" s="11">
        <v>0.27651345614210288</v>
      </c>
      <c r="Y263" s="11">
        <v>174.94209691841581</v>
      </c>
      <c r="Z263" s="13">
        <f t="shared" si="33"/>
        <v>-1.4020886347907435E-2</v>
      </c>
      <c r="AA263" s="13">
        <f t="shared" si="34"/>
        <v>1.948654385789711E-2</v>
      </c>
      <c r="AB263" s="13">
        <f t="shared" si="35"/>
        <v>-1.179691841582553E-2</v>
      </c>
      <c r="AC263" s="13">
        <f t="shared" si="36"/>
        <v>2.6748419198455976E-2</v>
      </c>
      <c r="AD263">
        <v>12</v>
      </c>
      <c r="AE263" t="s">
        <v>11</v>
      </c>
      <c r="AF263" t="s">
        <v>68</v>
      </c>
    </row>
    <row r="264" spans="1:32" x14ac:dyDescent="0.3">
      <c r="A264" s="1" t="s">
        <v>101</v>
      </c>
      <c r="B264" s="1">
        <v>116</v>
      </c>
      <c r="C264" s="1" t="s">
        <v>81</v>
      </c>
      <c r="D264" s="8">
        <v>1011.3914</v>
      </c>
      <c r="E264" s="8">
        <v>-624.91539999999998</v>
      </c>
      <c r="F264" s="8">
        <v>-1135.9066</v>
      </c>
      <c r="G264" t="s">
        <v>66</v>
      </c>
      <c r="H264">
        <v>50116</v>
      </c>
      <c r="I264" t="s">
        <v>22</v>
      </c>
      <c r="J264" s="11">
        <v>1011.597904261022</v>
      </c>
      <c r="K264" s="11">
        <v>-624.46812341395128</v>
      </c>
      <c r="L264" s="11">
        <v>-1135.9700738371871</v>
      </c>
      <c r="M264" s="13">
        <f t="shared" ref="M264:M277" si="37">D264-J264</f>
        <v>-0.20650426102201891</v>
      </c>
      <c r="N264" s="13">
        <f t="shared" ref="N264:N277" si="38">E264-K264</f>
        <v>-0.44727658604870157</v>
      </c>
      <c r="O264" s="13">
        <f t="shared" ref="O264:O277" si="39">F264-L264</f>
        <v>6.3473837187075333E-2</v>
      </c>
      <c r="P264" s="13">
        <f t="shared" ref="P264:P277" si="40">SQRT(M264*M264+N264*N264+O264*O264)</f>
        <v>0.49671851410520529</v>
      </c>
      <c r="Q264">
        <v>12</v>
      </c>
      <c r="R264" t="s">
        <v>23</v>
      </c>
      <c r="S264" t="s">
        <v>18</v>
      </c>
      <c r="T264" t="s">
        <v>66</v>
      </c>
      <c r="U264">
        <v>50116</v>
      </c>
      <c r="V264" t="s">
        <v>22</v>
      </c>
      <c r="W264" s="11">
        <v>1011.367595488318</v>
      </c>
      <c r="X264" s="11">
        <v>-624.73232218989017</v>
      </c>
      <c r="Y264" s="11">
        <v>-1136.0065668419329</v>
      </c>
      <c r="Z264" s="13">
        <f t="shared" si="33"/>
        <v>2.3804511681987606E-2</v>
      </c>
      <c r="AA264" s="13">
        <f t="shared" si="34"/>
        <v>-0.18307781010980761</v>
      </c>
      <c r="AB264" s="13">
        <f t="shared" si="35"/>
        <v>9.9966841932882744E-2</v>
      </c>
      <c r="AC264" s="13">
        <f t="shared" si="36"/>
        <v>0.20994644273493804</v>
      </c>
      <c r="AD264">
        <v>12</v>
      </c>
      <c r="AE264" t="s">
        <v>23</v>
      </c>
      <c r="AF264" t="s">
        <v>68</v>
      </c>
    </row>
    <row r="265" spans="1:32" x14ac:dyDescent="0.3">
      <c r="A265" s="1" t="s">
        <v>101</v>
      </c>
      <c r="B265" s="1">
        <v>121</v>
      </c>
      <c r="C265" s="1" t="s">
        <v>93</v>
      </c>
      <c r="D265" s="8">
        <v>635.14440000000002</v>
      </c>
      <c r="E265" s="8">
        <v>-99.875100000000003</v>
      </c>
      <c r="F265" s="8">
        <v>96.061599999999999</v>
      </c>
      <c r="G265" t="s">
        <v>66</v>
      </c>
      <c r="H265">
        <v>50121</v>
      </c>
      <c r="I265" t="s">
        <v>24</v>
      </c>
      <c r="J265" s="11">
        <v>635.13859239460555</v>
      </c>
      <c r="K265" s="11">
        <v>-99.688499223180116</v>
      </c>
      <c r="L265" s="11">
        <v>96.061289891333075</v>
      </c>
      <c r="M265" s="13">
        <f t="shared" si="37"/>
        <v>5.8076053944660089E-3</v>
      </c>
      <c r="N265" s="13">
        <f t="shared" si="38"/>
        <v>-0.18660077681988696</v>
      </c>
      <c r="O265" s="13">
        <f t="shared" si="39"/>
        <v>3.1010866692326999E-4</v>
      </c>
      <c r="P265" s="13">
        <f t="shared" si="40"/>
        <v>0.18669138801130702</v>
      </c>
      <c r="Q265">
        <v>12</v>
      </c>
      <c r="R265" t="s">
        <v>23</v>
      </c>
      <c r="S265" t="s">
        <v>18</v>
      </c>
      <c r="T265" t="s">
        <v>66</v>
      </c>
      <c r="U265">
        <v>50121</v>
      </c>
      <c r="V265" t="s">
        <v>24</v>
      </c>
      <c r="W265" s="11">
        <v>635.11915214323346</v>
      </c>
      <c r="X265" s="11">
        <v>-99.879038747117733</v>
      </c>
      <c r="Y265" s="11">
        <v>96.0578342375087</v>
      </c>
      <c r="Z265" s="13">
        <f t="shared" si="33"/>
        <v>2.5247856766554833E-2</v>
      </c>
      <c r="AA265" s="13">
        <f t="shared" si="34"/>
        <v>3.9387471177292355E-3</v>
      </c>
      <c r="AB265" s="13">
        <f t="shared" si="35"/>
        <v>3.7657624912981191E-3</v>
      </c>
      <c r="AC265" s="13">
        <f t="shared" si="36"/>
        <v>2.5829226997778253E-2</v>
      </c>
      <c r="AD265">
        <v>12</v>
      </c>
      <c r="AE265" t="s">
        <v>23</v>
      </c>
      <c r="AF265" t="s">
        <v>68</v>
      </c>
    </row>
    <row r="266" spans="1:32" x14ac:dyDescent="0.3">
      <c r="A266" s="1" t="s">
        <v>101</v>
      </c>
      <c r="B266" s="1">
        <v>13</v>
      </c>
      <c r="C266" s="1" t="s">
        <v>80</v>
      </c>
      <c r="D266" s="8">
        <v>279.66410000000002</v>
      </c>
      <c r="E266" s="8">
        <v>3.4499</v>
      </c>
      <c r="F266" s="8">
        <v>200.68600000000001</v>
      </c>
      <c r="G266" t="s">
        <v>66</v>
      </c>
      <c r="H266">
        <v>50013</v>
      </c>
      <c r="I266" t="s">
        <v>25</v>
      </c>
      <c r="J266" s="11">
        <v>279.66474340499462</v>
      </c>
      <c r="K266" s="11">
        <v>3.4437343681321022</v>
      </c>
      <c r="L266" s="11">
        <v>200.6820946217421</v>
      </c>
      <c r="M266" s="13">
        <f t="shared" si="37"/>
        <v>-6.4340499460513456E-4</v>
      </c>
      <c r="N266" s="13">
        <f t="shared" si="38"/>
        <v>6.1656318678977584E-3</v>
      </c>
      <c r="O266" s="13">
        <f t="shared" si="39"/>
        <v>3.9053782579117069E-3</v>
      </c>
      <c r="P266" s="13">
        <f t="shared" si="40"/>
        <v>7.326729533351747E-3</v>
      </c>
      <c r="Q266">
        <v>12</v>
      </c>
      <c r="R266" t="s">
        <v>23</v>
      </c>
      <c r="S266" t="s">
        <v>18</v>
      </c>
      <c r="T266" t="s">
        <v>66</v>
      </c>
      <c r="U266">
        <v>50013</v>
      </c>
      <c r="V266" t="s">
        <v>25</v>
      </c>
      <c r="W266" s="11">
        <v>279.68307475727403</v>
      </c>
      <c r="X266" s="11">
        <v>3.3690676296459992</v>
      </c>
      <c r="Y266" s="11">
        <v>200.6926808496903</v>
      </c>
      <c r="Z266" s="13">
        <f t="shared" si="33"/>
        <v>-1.897475727400888E-2</v>
      </c>
      <c r="AA266" s="13">
        <f t="shared" si="34"/>
        <v>8.0832370354000815E-2</v>
      </c>
      <c r="AB266" s="13">
        <f t="shared" si="35"/>
        <v>-6.6808496902979186E-3</v>
      </c>
      <c r="AC266" s="13">
        <f t="shared" si="36"/>
        <v>8.3297942731127853E-2</v>
      </c>
      <c r="AD266">
        <v>12</v>
      </c>
      <c r="AE266" t="s">
        <v>23</v>
      </c>
      <c r="AF266" t="s">
        <v>68</v>
      </c>
    </row>
    <row r="267" spans="1:32" x14ac:dyDescent="0.3">
      <c r="A267" s="1" t="s">
        <v>101</v>
      </c>
      <c r="B267" s="1">
        <v>34</v>
      </c>
      <c r="C267" s="1" t="s">
        <v>74</v>
      </c>
      <c r="D267" s="8">
        <v>757.71770000000004</v>
      </c>
      <c r="E267" s="8">
        <v>-94.634200000000007</v>
      </c>
      <c r="F267" s="8">
        <v>-665.76480000000004</v>
      </c>
      <c r="G267" t="s">
        <v>66</v>
      </c>
      <c r="H267">
        <v>50034</v>
      </c>
      <c r="I267" t="s">
        <v>26</v>
      </c>
      <c r="J267" s="11">
        <v>757.72691673181271</v>
      </c>
      <c r="K267" s="11">
        <v>-94.37921172278287</v>
      </c>
      <c r="L267" s="11">
        <v>-665.77470785485764</v>
      </c>
      <c r="M267" s="13">
        <f t="shared" si="37"/>
        <v>-9.2167318126712416E-3</v>
      </c>
      <c r="N267" s="13">
        <f t="shared" si="38"/>
        <v>-0.25498827721713724</v>
      </c>
      <c r="O267" s="13">
        <f t="shared" si="39"/>
        <v>9.9078548576017056E-3</v>
      </c>
      <c r="P267" s="13">
        <f t="shared" si="40"/>
        <v>0.2553470878066747</v>
      </c>
      <c r="Q267">
        <v>12</v>
      </c>
      <c r="R267" t="s">
        <v>23</v>
      </c>
      <c r="S267" t="s">
        <v>18</v>
      </c>
      <c r="T267" t="s">
        <v>66</v>
      </c>
      <c r="U267">
        <v>50034</v>
      </c>
      <c r="V267" t="s">
        <v>26</v>
      </c>
      <c r="W267" s="11">
        <v>757.68884875144317</v>
      </c>
      <c r="X267" s="11">
        <v>-94.577977176011217</v>
      </c>
      <c r="Y267" s="11">
        <v>-665.78121797699362</v>
      </c>
      <c r="Z267" s="13">
        <f t="shared" si="33"/>
        <v>2.8851248556861719E-2</v>
      </c>
      <c r="AA267" s="13">
        <f t="shared" si="34"/>
        <v>-5.6222823988790083E-2</v>
      </c>
      <c r="AB267" s="13">
        <f t="shared" si="35"/>
        <v>1.6417976993579941E-2</v>
      </c>
      <c r="AC267" s="13">
        <f t="shared" si="36"/>
        <v>6.5291273912568171E-2</v>
      </c>
      <c r="AD267">
        <v>12</v>
      </c>
      <c r="AE267" t="s">
        <v>23</v>
      </c>
      <c r="AF267" t="s">
        <v>68</v>
      </c>
    </row>
    <row r="268" spans="1:32" x14ac:dyDescent="0.3">
      <c r="A268" s="1" t="s">
        <v>101</v>
      </c>
      <c r="B268" s="1">
        <v>37</v>
      </c>
      <c r="C268" s="1" t="s">
        <v>79</v>
      </c>
      <c r="D268" s="8">
        <v>33.2346</v>
      </c>
      <c r="E268" s="8">
        <v>-97.924099999999996</v>
      </c>
      <c r="F268" s="8">
        <v>-391.0145</v>
      </c>
      <c r="G268" t="s">
        <v>66</v>
      </c>
      <c r="H268">
        <v>50037</v>
      </c>
      <c r="I268" t="s">
        <v>27</v>
      </c>
      <c r="J268" s="11">
        <v>33.224477827176479</v>
      </c>
      <c r="K268" s="11">
        <v>-97.942337259577627</v>
      </c>
      <c r="L268" s="11">
        <v>-391.02883811008212</v>
      </c>
      <c r="M268" s="13">
        <f t="shared" si="37"/>
        <v>1.012217282352168E-2</v>
      </c>
      <c r="N268" s="13">
        <f t="shared" si="38"/>
        <v>1.8237259577631448E-2</v>
      </c>
      <c r="O268" s="13">
        <f t="shared" si="39"/>
        <v>1.4338110082121602E-2</v>
      </c>
      <c r="P268" s="13">
        <f t="shared" si="40"/>
        <v>2.5310816270878899E-2</v>
      </c>
      <c r="Q268">
        <v>12</v>
      </c>
      <c r="R268" t="s">
        <v>23</v>
      </c>
      <c r="S268" t="s">
        <v>18</v>
      </c>
      <c r="T268" t="s">
        <v>66</v>
      </c>
      <c r="U268">
        <v>50037</v>
      </c>
      <c r="V268" t="s">
        <v>27</v>
      </c>
      <c r="W268" s="11">
        <v>33.192608417099187</v>
      </c>
      <c r="X268" s="11">
        <v>-97.907616218157486</v>
      </c>
      <c r="Y268" s="11">
        <v>-391.01607457372359</v>
      </c>
      <c r="Z268" s="13">
        <f t="shared" si="33"/>
        <v>4.1991582900813285E-2</v>
      </c>
      <c r="AA268" s="13">
        <f t="shared" si="34"/>
        <v>-1.648378184250987E-2</v>
      </c>
      <c r="AB268" s="13">
        <f t="shared" si="35"/>
        <v>1.5745737235874913E-3</v>
      </c>
      <c r="AC268" s="13">
        <f t="shared" si="36"/>
        <v>4.5138535429922237E-2</v>
      </c>
      <c r="AD268">
        <v>12</v>
      </c>
      <c r="AE268" t="s">
        <v>23</v>
      </c>
      <c r="AF268" t="s">
        <v>68</v>
      </c>
    </row>
    <row r="269" spans="1:32" x14ac:dyDescent="0.3">
      <c r="A269" s="1" t="s">
        <v>101</v>
      </c>
      <c r="B269" s="1">
        <v>4</v>
      </c>
      <c r="C269" s="1" t="s">
        <v>88</v>
      </c>
      <c r="D269" s="8">
        <v>1045.2653</v>
      </c>
      <c r="E269" s="8">
        <v>-512.69929999999999</v>
      </c>
      <c r="F269" s="8">
        <v>-1105.6585</v>
      </c>
      <c r="G269" t="s">
        <v>66</v>
      </c>
      <c r="H269">
        <v>50004</v>
      </c>
      <c r="I269" t="s">
        <v>29</v>
      </c>
      <c r="J269" s="11">
        <v>1045.4211305858901</v>
      </c>
      <c r="K269" s="11">
        <v>-512.27915383081984</v>
      </c>
      <c r="L269" s="11">
        <v>-1105.6747694283861</v>
      </c>
      <c r="M269" s="13">
        <f t="shared" si="37"/>
        <v>-0.15583058589004395</v>
      </c>
      <c r="N269" s="13">
        <f t="shared" si="38"/>
        <v>-0.4201461691801569</v>
      </c>
      <c r="O269" s="13">
        <f t="shared" si="39"/>
        <v>1.6269428386067375E-2</v>
      </c>
      <c r="P269" s="13">
        <f t="shared" si="40"/>
        <v>0.44840904236601292</v>
      </c>
      <c r="Q269">
        <v>12</v>
      </c>
      <c r="R269" t="s">
        <v>23</v>
      </c>
      <c r="S269" t="s">
        <v>18</v>
      </c>
      <c r="T269" t="s">
        <v>66</v>
      </c>
      <c r="U269">
        <v>50004</v>
      </c>
      <c r="V269" t="s">
        <v>29</v>
      </c>
      <c r="W269" s="11">
        <v>1045.229647678739</v>
      </c>
      <c r="X269" s="11">
        <v>-512.55614505524045</v>
      </c>
      <c r="Y269" s="11">
        <v>-1105.707264716654</v>
      </c>
      <c r="Z269" s="13">
        <f t="shared" si="33"/>
        <v>3.5652321261068209E-2</v>
      </c>
      <c r="AA269" s="13">
        <f t="shared" si="34"/>
        <v>-0.14315494475954438</v>
      </c>
      <c r="AB269" s="13">
        <f t="shared" si="35"/>
        <v>4.8764716653977302E-2</v>
      </c>
      <c r="AC269" s="13">
        <f t="shared" si="36"/>
        <v>0.15537832477779295</v>
      </c>
      <c r="AD269">
        <v>12</v>
      </c>
      <c r="AE269" t="s">
        <v>23</v>
      </c>
      <c r="AF269" t="s">
        <v>68</v>
      </c>
    </row>
    <row r="270" spans="1:32" x14ac:dyDescent="0.3">
      <c r="A270" s="1" t="s">
        <v>101</v>
      </c>
      <c r="B270" s="1">
        <v>42</v>
      </c>
      <c r="C270" s="1" t="s">
        <v>90</v>
      </c>
      <c r="D270" s="8">
        <v>1083.0722000000001</v>
      </c>
      <c r="E270" s="8">
        <v>-97.218000000000004</v>
      </c>
      <c r="F270" s="8">
        <v>-356.45589999999999</v>
      </c>
      <c r="G270" t="s">
        <v>66</v>
      </c>
      <c r="H270">
        <v>50042</v>
      </c>
      <c r="I270" t="s">
        <v>28</v>
      </c>
      <c r="J270" s="11">
        <v>1083.0939856802911</v>
      </c>
      <c r="K270" s="11">
        <v>-96.886273257723531</v>
      </c>
      <c r="L270" s="11">
        <v>-356.46679635915069</v>
      </c>
      <c r="M270" s="13">
        <f t="shared" si="37"/>
        <v>-2.1785680291031895E-2</v>
      </c>
      <c r="N270" s="13">
        <f t="shared" si="38"/>
        <v>-0.33172674227647292</v>
      </c>
      <c r="O270" s="13">
        <f t="shared" si="39"/>
        <v>1.0896359150706303E-2</v>
      </c>
      <c r="P270" s="13">
        <f t="shared" si="40"/>
        <v>0.33261987019696482</v>
      </c>
      <c r="Q270">
        <v>12</v>
      </c>
      <c r="R270" t="s">
        <v>23</v>
      </c>
      <c r="S270" t="s">
        <v>18</v>
      </c>
      <c r="T270" t="s">
        <v>66</v>
      </c>
      <c r="U270">
        <v>50042</v>
      </c>
      <c r="V270" t="s">
        <v>28</v>
      </c>
      <c r="W270" s="11">
        <v>1083.0633398484069</v>
      </c>
      <c r="X270" s="11">
        <v>-97.208816034896643</v>
      </c>
      <c r="Y270" s="11">
        <v>-356.48214223024962</v>
      </c>
      <c r="Z270" s="13">
        <f t="shared" si="33"/>
        <v>8.86015159312592E-3</v>
      </c>
      <c r="AA270" s="13">
        <f t="shared" si="34"/>
        <v>-9.1839651033609471E-3</v>
      </c>
      <c r="AB270" s="13">
        <f t="shared" si="35"/>
        <v>2.6242230249636123E-2</v>
      </c>
      <c r="AC270" s="13">
        <f t="shared" si="36"/>
        <v>2.918050975819032E-2</v>
      </c>
      <c r="AD270">
        <v>12</v>
      </c>
      <c r="AE270" t="s">
        <v>23</v>
      </c>
      <c r="AF270" t="s">
        <v>68</v>
      </c>
    </row>
    <row r="271" spans="1:32" x14ac:dyDescent="0.3">
      <c r="A271" s="1" t="s">
        <v>101</v>
      </c>
      <c r="B271" s="1">
        <v>506</v>
      </c>
      <c r="C271" s="1" t="s">
        <v>82</v>
      </c>
      <c r="D271" s="8">
        <v>1148.4266</v>
      </c>
      <c r="E271" s="8">
        <v>-23.8673</v>
      </c>
      <c r="F271" s="8">
        <v>-460.46870000000001</v>
      </c>
      <c r="G271" t="s">
        <v>66</v>
      </c>
      <c r="H271">
        <v>50506</v>
      </c>
      <c r="I271" t="s">
        <v>30</v>
      </c>
      <c r="J271" s="11">
        <v>1148.4646014759089</v>
      </c>
      <c r="K271" s="11">
        <v>-23.508757874993659</v>
      </c>
      <c r="L271" s="11">
        <v>-460.44475861870342</v>
      </c>
      <c r="M271" s="13">
        <f t="shared" si="37"/>
        <v>-3.8001475908913562E-2</v>
      </c>
      <c r="N271" s="13">
        <f t="shared" si="38"/>
        <v>-0.35854212500634119</v>
      </c>
      <c r="O271" s="13">
        <f t="shared" si="39"/>
        <v>-2.3941381296594955E-2</v>
      </c>
      <c r="P271" s="13">
        <f t="shared" si="40"/>
        <v>0.36134437495788896</v>
      </c>
      <c r="Q271">
        <v>12</v>
      </c>
      <c r="R271" t="s">
        <v>23</v>
      </c>
      <c r="S271" t="s">
        <v>18</v>
      </c>
      <c r="T271" t="s">
        <v>66</v>
      </c>
      <c r="U271">
        <v>50506</v>
      </c>
      <c r="V271" t="s">
        <v>30</v>
      </c>
      <c r="W271" s="11">
        <v>1148.456029259713</v>
      </c>
      <c r="X271" s="11">
        <v>-23.848909228904361</v>
      </c>
      <c r="Y271" s="11">
        <v>-460.45864945117239</v>
      </c>
      <c r="Z271" s="13">
        <f t="shared" si="33"/>
        <v>-2.9429259712969724E-2</v>
      </c>
      <c r="AA271" s="13">
        <f t="shared" si="34"/>
        <v>-1.8390771095639025E-2</v>
      </c>
      <c r="AB271" s="13">
        <f t="shared" si="35"/>
        <v>-1.0050548827621242E-2</v>
      </c>
      <c r="AC271" s="13">
        <f t="shared" si="36"/>
        <v>3.6129147796232525E-2</v>
      </c>
      <c r="AD271">
        <v>12</v>
      </c>
      <c r="AE271" t="s">
        <v>23</v>
      </c>
      <c r="AF271" t="s">
        <v>68</v>
      </c>
    </row>
    <row r="272" spans="1:32" x14ac:dyDescent="0.3">
      <c r="A272" s="1" t="s">
        <v>101</v>
      </c>
      <c r="B272" s="1">
        <v>507</v>
      </c>
      <c r="C272" s="1" t="s">
        <v>83</v>
      </c>
      <c r="D272" s="8">
        <v>676.56489999999997</v>
      </c>
      <c r="E272" s="8">
        <v>-26.996500000000001</v>
      </c>
      <c r="F272" s="8">
        <v>-1093.7797</v>
      </c>
      <c r="G272" t="s">
        <v>66</v>
      </c>
      <c r="H272">
        <v>50507</v>
      </c>
      <c r="I272" t="s">
        <v>31</v>
      </c>
      <c r="J272" s="11">
        <v>676.64370610054164</v>
      </c>
      <c r="K272" s="11">
        <v>-26.85180119515762</v>
      </c>
      <c r="L272" s="11">
        <v>-1093.7851047613101</v>
      </c>
      <c r="M272" s="13">
        <f t="shared" si="37"/>
        <v>-7.8806100541669366E-2</v>
      </c>
      <c r="N272" s="13">
        <f t="shared" si="38"/>
        <v>-0.14469880484238118</v>
      </c>
      <c r="O272" s="13">
        <f t="shared" si="39"/>
        <v>5.4047613100465242E-3</v>
      </c>
      <c r="P272" s="13">
        <f t="shared" si="40"/>
        <v>0.16485556420762931</v>
      </c>
      <c r="Q272">
        <v>12</v>
      </c>
      <c r="R272" t="s">
        <v>23</v>
      </c>
      <c r="S272" t="s">
        <v>18</v>
      </c>
      <c r="T272" t="s">
        <v>66</v>
      </c>
      <c r="U272">
        <v>50507</v>
      </c>
      <c r="V272" t="s">
        <v>31</v>
      </c>
      <c r="W272" s="11">
        <v>676.61705271699668</v>
      </c>
      <c r="X272" s="11">
        <v>-27.004378988564881</v>
      </c>
      <c r="Y272" s="11">
        <v>-1093.7864875644259</v>
      </c>
      <c r="Z272" s="13">
        <f t="shared" si="33"/>
        <v>-5.2152716996715753E-2</v>
      </c>
      <c r="AA272" s="13">
        <f t="shared" si="34"/>
        <v>7.8789885648795632E-3</v>
      </c>
      <c r="AB272" s="13">
        <f t="shared" si="35"/>
        <v>6.7875644258492684E-3</v>
      </c>
      <c r="AC272" s="13">
        <f t="shared" si="36"/>
        <v>5.317946391023589E-2</v>
      </c>
      <c r="AD272">
        <v>12</v>
      </c>
      <c r="AE272" t="s">
        <v>23</v>
      </c>
      <c r="AF272" t="s">
        <v>68</v>
      </c>
    </row>
    <row r="273" spans="1:32" x14ac:dyDescent="0.3">
      <c r="A273" s="1" t="s">
        <v>101</v>
      </c>
      <c r="B273" s="1">
        <v>509</v>
      </c>
      <c r="C273" s="1" t="s">
        <v>97</v>
      </c>
      <c r="D273" s="8">
        <v>487.45119999999997</v>
      </c>
      <c r="E273" s="8">
        <v>-401.67630000000003</v>
      </c>
      <c r="F273" s="8">
        <v>439.24799999999999</v>
      </c>
      <c r="G273" t="s">
        <v>66</v>
      </c>
      <c r="H273">
        <v>50509</v>
      </c>
      <c r="I273" t="s">
        <v>32</v>
      </c>
      <c r="J273" s="11">
        <v>487.51235468480621</v>
      </c>
      <c r="K273" s="11">
        <v>-401.54779473572148</v>
      </c>
      <c r="L273" s="11">
        <v>439.18138049188678</v>
      </c>
      <c r="M273" s="13">
        <f t="shared" si="37"/>
        <v>-6.1154684806240311E-2</v>
      </c>
      <c r="N273" s="13">
        <f t="shared" si="38"/>
        <v>-0.12850526427854447</v>
      </c>
      <c r="O273" s="13">
        <f t="shared" si="39"/>
        <v>6.6619508113205939E-2</v>
      </c>
      <c r="P273" s="13">
        <f t="shared" si="40"/>
        <v>0.1571357924926548</v>
      </c>
      <c r="Q273">
        <v>12</v>
      </c>
      <c r="R273" t="s">
        <v>23</v>
      </c>
      <c r="S273" t="s">
        <v>18</v>
      </c>
      <c r="T273" t="s">
        <v>66</v>
      </c>
      <c r="U273">
        <v>50509</v>
      </c>
      <c r="V273" t="s">
        <v>32</v>
      </c>
      <c r="W273" s="11">
        <v>487.39983315253448</v>
      </c>
      <c r="X273" s="11">
        <v>-401.70329702356219</v>
      </c>
      <c r="Y273" s="11">
        <v>439.16868634540748</v>
      </c>
      <c r="Z273" s="13">
        <f t="shared" si="33"/>
        <v>5.1366847465487808E-2</v>
      </c>
      <c r="AA273" s="13">
        <f t="shared" si="34"/>
        <v>2.6997023562159939E-2</v>
      </c>
      <c r="AB273" s="13">
        <f t="shared" si="35"/>
        <v>7.9313654592510829E-2</v>
      </c>
      <c r="AC273" s="13">
        <f t="shared" si="36"/>
        <v>9.8275368758293777E-2</v>
      </c>
      <c r="AD273">
        <v>12</v>
      </c>
      <c r="AE273" t="s">
        <v>23</v>
      </c>
      <c r="AF273" t="s">
        <v>68</v>
      </c>
    </row>
    <row r="274" spans="1:32" x14ac:dyDescent="0.3">
      <c r="A274" s="1" t="s">
        <v>101</v>
      </c>
      <c r="B274" s="1">
        <v>57</v>
      </c>
      <c r="C274" s="1" t="s">
        <v>91</v>
      </c>
      <c r="D274" s="8">
        <v>381.47239999999999</v>
      </c>
      <c r="E274" s="8">
        <v>-98.929500000000004</v>
      </c>
      <c r="F274" s="8">
        <v>-132.25659999999999</v>
      </c>
      <c r="G274" t="s">
        <v>66</v>
      </c>
      <c r="H274">
        <v>50057</v>
      </c>
      <c r="I274" t="s">
        <v>33</v>
      </c>
      <c r="J274" s="11">
        <v>381.47136924257012</v>
      </c>
      <c r="K274" s="11">
        <v>-98.823097296860624</v>
      </c>
      <c r="L274" s="11">
        <v>-132.28364226346949</v>
      </c>
      <c r="M274" s="13">
        <f t="shared" si="37"/>
        <v>1.0307574298735744E-3</v>
      </c>
      <c r="N274" s="13">
        <f t="shared" si="38"/>
        <v>-0.10640270313938061</v>
      </c>
      <c r="O274" s="13">
        <f t="shared" si="39"/>
        <v>2.7042263469496675E-2</v>
      </c>
      <c r="P274" s="13">
        <f t="shared" si="40"/>
        <v>0.10979017128049336</v>
      </c>
      <c r="Q274">
        <v>12</v>
      </c>
      <c r="R274" t="s">
        <v>23</v>
      </c>
      <c r="S274" t="s">
        <v>18</v>
      </c>
      <c r="T274" t="s">
        <v>66</v>
      </c>
      <c r="U274">
        <v>50057</v>
      </c>
      <c r="V274" t="s">
        <v>33</v>
      </c>
      <c r="W274" s="11">
        <v>381.44611649163699</v>
      </c>
      <c r="X274" s="11">
        <v>-98.917695562351881</v>
      </c>
      <c r="Y274" s="11">
        <v>-132.28025690263601</v>
      </c>
      <c r="Z274" s="13">
        <f t="shared" si="33"/>
        <v>2.6283508363007968E-2</v>
      </c>
      <c r="AA274" s="13">
        <f t="shared" si="34"/>
        <v>-1.1804437648123667E-2</v>
      </c>
      <c r="AB274" s="13">
        <f t="shared" si="35"/>
        <v>2.365690263602005E-2</v>
      </c>
      <c r="AC274" s="13">
        <f t="shared" si="36"/>
        <v>3.7280244129925998E-2</v>
      </c>
      <c r="AD274">
        <v>12</v>
      </c>
      <c r="AE274" t="s">
        <v>23</v>
      </c>
      <c r="AF274" t="s">
        <v>68</v>
      </c>
    </row>
    <row r="275" spans="1:32" x14ac:dyDescent="0.3">
      <c r="A275" s="1" t="s">
        <v>101</v>
      </c>
      <c r="B275" s="1">
        <v>87</v>
      </c>
      <c r="C275" s="1" t="s">
        <v>86</v>
      </c>
      <c r="D275" s="8">
        <v>1197.8887</v>
      </c>
      <c r="E275" s="8">
        <v>-631.55539999999996</v>
      </c>
      <c r="F275" s="8">
        <v>-975.75030000000004</v>
      </c>
      <c r="G275" t="s">
        <v>66</v>
      </c>
      <c r="H275">
        <v>50087</v>
      </c>
      <c r="I275" t="s">
        <v>34</v>
      </c>
      <c r="J275" s="11">
        <v>1198.1368553679199</v>
      </c>
      <c r="K275" s="11">
        <v>-631.04966792469349</v>
      </c>
      <c r="L275" s="11">
        <v>-975.86272278926856</v>
      </c>
      <c r="M275" s="13">
        <f t="shared" si="37"/>
        <v>-0.24815536791993509</v>
      </c>
      <c r="N275" s="13">
        <f t="shared" si="38"/>
        <v>-0.50573207530646869</v>
      </c>
      <c r="O275" s="13">
        <f t="shared" si="39"/>
        <v>0.11242278926852123</v>
      </c>
      <c r="P275" s="13">
        <f t="shared" si="40"/>
        <v>0.57444312352763038</v>
      </c>
      <c r="Q275">
        <v>12</v>
      </c>
      <c r="R275" t="s">
        <v>23</v>
      </c>
      <c r="S275" t="s">
        <v>18</v>
      </c>
      <c r="T275" t="s">
        <v>66</v>
      </c>
      <c r="U275">
        <v>50087</v>
      </c>
      <c r="V275" t="s">
        <v>34</v>
      </c>
      <c r="W275" s="11">
        <v>1197.908597035701</v>
      </c>
      <c r="X275" s="11">
        <v>-631.38407702196594</v>
      </c>
      <c r="Y275" s="11">
        <v>-975.90450637067272</v>
      </c>
      <c r="Z275" s="13">
        <f t="shared" si="33"/>
        <v>-1.9897035700978449E-2</v>
      </c>
      <c r="AA275" s="13">
        <f t="shared" si="34"/>
        <v>-0.17132297803402707</v>
      </c>
      <c r="AB275" s="13">
        <f t="shared" si="35"/>
        <v>0.15420637067268217</v>
      </c>
      <c r="AC275" s="13">
        <f t="shared" si="36"/>
        <v>0.23135915713058428</v>
      </c>
      <c r="AD275">
        <v>12</v>
      </c>
      <c r="AE275" t="s">
        <v>23</v>
      </c>
      <c r="AF275" t="s">
        <v>68</v>
      </c>
    </row>
    <row r="276" spans="1:32" x14ac:dyDescent="0.3">
      <c r="A276" s="1" t="s">
        <v>101</v>
      </c>
      <c r="B276" s="1">
        <v>92</v>
      </c>
      <c r="C276" s="1" t="s">
        <v>92</v>
      </c>
      <c r="D276" s="8">
        <v>532.54459999999995</v>
      </c>
      <c r="E276" s="8">
        <v>-93.960400000000007</v>
      </c>
      <c r="F276" s="8">
        <v>-862.32659999999998</v>
      </c>
      <c r="G276" t="s">
        <v>66</v>
      </c>
      <c r="H276">
        <v>50092</v>
      </c>
      <c r="I276" t="s">
        <v>35</v>
      </c>
      <c r="J276" s="11">
        <v>532.57008338725097</v>
      </c>
      <c r="K276" s="11">
        <v>-93.873066011603171</v>
      </c>
      <c r="L276" s="11">
        <v>-862.35823984314084</v>
      </c>
      <c r="M276" s="13">
        <f t="shared" si="37"/>
        <v>-2.5483387251028944E-2</v>
      </c>
      <c r="N276" s="13">
        <f t="shared" si="38"/>
        <v>-8.7333988396835593E-2</v>
      </c>
      <c r="O276" s="13">
        <f t="shared" si="39"/>
        <v>3.1639843140851553E-2</v>
      </c>
      <c r="P276" s="13">
        <f t="shared" si="40"/>
        <v>9.6320860819773674E-2</v>
      </c>
      <c r="Q276">
        <v>12</v>
      </c>
      <c r="R276" t="s">
        <v>23</v>
      </c>
      <c r="S276" t="s">
        <v>18</v>
      </c>
      <c r="T276" t="s">
        <v>66</v>
      </c>
      <c r="U276">
        <v>50092</v>
      </c>
      <c r="V276" t="s">
        <v>35</v>
      </c>
      <c r="W276" s="11">
        <v>532.52693083509996</v>
      </c>
      <c r="X276" s="11">
        <v>-93.986939920317525</v>
      </c>
      <c r="Y276" s="11">
        <v>-862.35868929407093</v>
      </c>
      <c r="Z276" s="13">
        <f t="shared" si="33"/>
        <v>1.7669164899984935E-2</v>
      </c>
      <c r="AA276" s="13">
        <f t="shared" si="34"/>
        <v>2.653992031751784E-2</v>
      </c>
      <c r="AB276" s="13">
        <f t="shared" si="35"/>
        <v>3.2089294070942742E-2</v>
      </c>
      <c r="AC276" s="13">
        <f t="shared" si="36"/>
        <v>4.5235932097111659E-2</v>
      </c>
      <c r="AD276">
        <v>12</v>
      </c>
      <c r="AE276" t="s">
        <v>23</v>
      </c>
      <c r="AF276" t="s">
        <v>68</v>
      </c>
    </row>
    <row r="277" spans="1:32" x14ac:dyDescent="0.3">
      <c r="A277" s="1" t="s">
        <v>101</v>
      </c>
      <c r="B277" s="1">
        <v>96</v>
      </c>
      <c r="C277" s="1" t="s">
        <v>84</v>
      </c>
      <c r="D277" s="8">
        <v>424.49130000000002</v>
      </c>
      <c r="E277" s="8">
        <v>3.1574</v>
      </c>
      <c r="F277" s="8">
        <v>303.96719999999999</v>
      </c>
      <c r="G277" t="s">
        <v>66</v>
      </c>
      <c r="H277">
        <v>50096</v>
      </c>
      <c r="I277" t="s">
        <v>36</v>
      </c>
      <c r="J277" s="11">
        <v>424.48624557102852</v>
      </c>
      <c r="K277" s="11">
        <v>3.235852756765929</v>
      </c>
      <c r="L277" s="11">
        <v>303.9753181503412</v>
      </c>
      <c r="M277" s="13">
        <f t="shared" si="37"/>
        <v>5.0544289715048762E-3</v>
      </c>
      <c r="N277" s="13">
        <f t="shared" si="38"/>
        <v>-7.8452756765928999E-2</v>
      </c>
      <c r="O277" s="13">
        <f t="shared" si="39"/>
        <v>-8.1181503412040001E-3</v>
      </c>
      <c r="P277" s="13">
        <f t="shared" si="40"/>
        <v>7.9033452799206469E-2</v>
      </c>
      <c r="Q277">
        <v>12</v>
      </c>
      <c r="R277" t="s">
        <v>23</v>
      </c>
      <c r="S277" t="s">
        <v>18</v>
      </c>
      <c r="T277" t="s">
        <v>66</v>
      </c>
      <c r="U277">
        <v>50096</v>
      </c>
      <c r="V277" t="s">
        <v>36</v>
      </c>
      <c r="W277" s="11">
        <v>424.50726671539508</v>
      </c>
      <c r="X277" s="11">
        <v>3.1075958410032469</v>
      </c>
      <c r="Y277" s="11">
        <v>303.98201131272037</v>
      </c>
      <c r="Z277" s="13">
        <f t="shared" si="33"/>
        <v>-1.5966715395052233E-2</v>
      </c>
      <c r="AA277" s="13">
        <f t="shared" si="34"/>
        <v>4.9804158996753056E-2</v>
      </c>
      <c r="AB277" s="13">
        <f t="shared" si="35"/>
        <v>-1.481131272038283E-2</v>
      </c>
      <c r="AC277" s="13">
        <f t="shared" si="36"/>
        <v>5.4357752330108637E-2</v>
      </c>
      <c r="AD277">
        <v>12</v>
      </c>
      <c r="AE277" t="s">
        <v>23</v>
      </c>
      <c r="AF277" t="s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7"/>
  <sheetViews>
    <sheetView workbookViewId="0">
      <selection activeCell="F2" sqref="F2:H7"/>
    </sheetView>
  </sheetViews>
  <sheetFormatPr defaultRowHeight="16.5" x14ac:dyDescent="0.3"/>
  <cols>
    <col min="8" max="8" width="10.125" customWidth="1"/>
  </cols>
  <sheetData>
    <row r="1" spans="1:16" x14ac:dyDescent="0.3">
      <c r="A1" t="s">
        <v>128</v>
      </c>
      <c r="B1" t="s">
        <v>130</v>
      </c>
      <c r="C1" t="s">
        <v>132</v>
      </c>
      <c r="D1" t="s">
        <v>134</v>
      </c>
    </row>
    <row r="2" spans="1:16" x14ac:dyDescent="0.3">
      <c r="A2">
        <v>-2.5591704838916485E-3</v>
      </c>
      <c r="B2">
        <v>-5.5434123236054234E-2</v>
      </c>
      <c r="C2">
        <v>-3.2986919410518567E-2</v>
      </c>
      <c r="D2">
        <v>6.4557170203717235E-2</v>
      </c>
      <c r="F2" s="16"/>
      <c r="G2" s="16" t="s">
        <v>136</v>
      </c>
      <c r="H2" s="16" t="s">
        <v>135</v>
      </c>
    </row>
    <row r="3" spans="1:16" x14ac:dyDescent="0.3">
      <c r="A3">
        <v>-6.8201047679394833E-3</v>
      </c>
      <c r="B3">
        <v>-0.12399732976445677</v>
      </c>
      <c r="C3">
        <v>0.15693905772116068</v>
      </c>
      <c r="D3">
        <v>0.20012925687206984</v>
      </c>
      <c r="F3" s="16" t="s">
        <v>141</v>
      </c>
      <c r="G3" s="16">
        <f>COUNT(A2:C397)</f>
        <v>1188</v>
      </c>
      <c r="H3" s="16">
        <f>COUNT(D2:D397)</f>
        <v>396</v>
      </c>
      <c r="M3" s="16" t="s">
        <v>137</v>
      </c>
      <c r="N3" s="16" t="s">
        <v>138</v>
      </c>
      <c r="O3" s="16" t="s">
        <v>139</v>
      </c>
      <c r="P3" s="16" t="s">
        <v>140</v>
      </c>
    </row>
    <row r="4" spans="1:16" x14ac:dyDescent="0.3">
      <c r="A4">
        <v>0.15861617041957743</v>
      </c>
      <c r="B4">
        <v>-8.2829428477353417E-3</v>
      </c>
      <c r="C4">
        <v>-4.9911988121493778E-3</v>
      </c>
      <c r="D4">
        <v>0.15891069418504747</v>
      </c>
      <c r="F4" s="16" t="s">
        <v>137</v>
      </c>
      <c r="G4" s="17">
        <f>MIN(A2:C397)</f>
        <v>-0.50573207530646869</v>
      </c>
      <c r="H4" s="17">
        <f>MIN(D2:D397)</f>
        <v>5.885157527735517E-3</v>
      </c>
      <c r="L4" s="16" t="s">
        <v>136</v>
      </c>
      <c r="M4">
        <v>-0.50573207530646869</v>
      </c>
      <c r="N4">
        <v>0.51819985798556445</v>
      </c>
      <c r="O4">
        <v>-7.9802517666298853E-3</v>
      </c>
      <c r="P4">
        <v>9.469051853207798E-2</v>
      </c>
    </row>
    <row r="5" spans="1:16" x14ac:dyDescent="0.3">
      <c r="A5">
        <v>7.3377143116033494E-3</v>
      </c>
      <c r="B5">
        <v>-2.8129876846492152E-2</v>
      </c>
      <c r="C5">
        <v>2.7050233240458965E-2</v>
      </c>
      <c r="D5">
        <v>3.970953463692007E-2</v>
      </c>
      <c r="F5" s="16" t="s">
        <v>138</v>
      </c>
      <c r="G5" s="17">
        <f>MAX(A2:C397)</f>
        <v>0.51819985798556445</v>
      </c>
      <c r="H5" s="17">
        <f>MAX(D2:D397)</f>
        <v>0.63794783455564952</v>
      </c>
      <c r="L5" s="16" t="s">
        <v>135</v>
      </c>
      <c r="M5">
        <v>5.885157527735517E-3</v>
      </c>
      <c r="N5">
        <v>0.63794783455564952</v>
      </c>
      <c r="O5">
        <v>0.11983002716188525</v>
      </c>
      <c r="P5">
        <v>0.11283040700440482</v>
      </c>
    </row>
    <row r="6" spans="1:16" x14ac:dyDescent="0.3">
      <c r="A6">
        <v>0.15474081968397968</v>
      </c>
      <c r="B6">
        <v>1.1321357749807248E-2</v>
      </c>
      <c r="C6">
        <v>-4.921653701330797E-4</v>
      </c>
      <c r="D6">
        <v>0.15515520179652564</v>
      </c>
      <c r="F6" s="16" t="s">
        <v>139</v>
      </c>
      <c r="G6" s="17">
        <f>AVERAGE(A2:C397)</f>
        <v>-7.9802517666298853E-3</v>
      </c>
      <c r="H6" s="17">
        <f>AVERAGE(D2:D397)</f>
        <v>0.11983002716188525</v>
      </c>
    </row>
    <row r="7" spans="1:16" x14ac:dyDescent="0.3">
      <c r="A7">
        <v>1.1580284451042644E-2</v>
      </c>
      <c r="B7">
        <v>-5.7433893290124161E-2</v>
      </c>
      <c r="C7">
        <v>1.7456414799553954E-2</v>
      </c>
      <c r="D7">
        <v>6.1134945032137844E-2</v>
      </c>
      <c r="F7" s="16" t="s">
        <v>140</v>
      </c>
      <c r="G7" s="17">
        <f>_xlfn.STDEV.P(A2:C397)</f>
        <v>9.469051853207798E-2</v>
      </c>
      <c r="H7" s="17">
        <f>_xlfn.STDEV.P(D2:D397)</f>
        <v>0.11283040700440482</v>
      </c>
    </row>
    <row r="8" spans="1:16" x14ac:dyDescent="0.3">
      <c r="A8">
        <v>3.0230792792167449E-3</v>
      </c>
      <c r="B8">
        <v>-2.7993146524914359E-2</v>
      </c>
      <c r="C8">
        <v>-1.961898177069088E-2</v>
      </c>
      <c r="D8">
        <v>3.4317046877790282E-2</v>
      </c>
    </row>
    <row r="9" spans="1:16" x14ac:dyDescent="0.3">
      <c r="A9">
        <v>0.10809386679068211</v>
      </c>
      <c r="B9">
        <v>-8.1468624556890745E-3</v>
      </c>
      <c r="C9">
        <v>5.5677954397992835E-2</v>
      </c>
      <c r="D9">
        <v>0.12186340718845265</v>
      </c>
    </row>
    <row r="10" spans="1:16" x14ac:dyDescent="0.3">
      <c r="A10">
        <v>1.3688171974749253E-2</v>
      </c>
      <c r="B10">
        <v>5.2715614550251644E-2</v>
      </c>
      <c r="C10">
        <v>2.3649057845602783E-2</v>
      </c>
      <c r="D10">
        <v>5.9376594769367505E-2</v>
      </c>
    </row>
    <row r="11" spans="1:16" x14ac:dyDescent="0.3">
      <c r="A11">
        <v>0.11893014329393736</v>
      </c>
      <c r="B11">
        <v>6.519004944379958E-2</v>
      </c>
      <c r="C11">
        <v>8.4264347114185512E-2</v>
      </c>
      <c r="D11">
        <v>0.15967029067732497</v>
      </c>
    </row>
    <row r="12" spans="1:16" x14ac:dyDescent="0.3">
      <c r="A12">
        <v>2.9851384806534043E-4</v>
      </c>
      <c r="B12">
        <v>-0.10625605319479803</v>
      </c>
      <c r="C12">
        <v>0.10870183426794711</v>
      </c>
      <c r="D12">
        <v>0.15200831136575879</v>
      </c>
    </row>
    <row r="13" spans="1:16" x14ac:dyDescent="0.3">
      <c r="A13">
        <v>-3.7993566887053021E-2</v>
      </c>
      <c r="B13">
        <v>-0.10746844296122049</v>
      </c>
      <c r="C13">
        <v>0.13718382659823192</v>
      </c>
      <c r="D13">
        <v>0.17836025240351011</v>
      </c>
    </row>
    <row r="14" spans="1:16" x14ac:dyDescent="0.3">
      <c r="A14">
        <v>0.24355563781261935</v>
      </c>
      <c r="B14">
        <v>6.858319651922784E-2</v>
      </c>
      <c r="C14">
        <v>-7.4252262925028845E-2</v>
      </c>
      <c r="D14">
        <v>0.26369755801788242</v>
      </c>
    </row>
    <row r="15" spans="1:16" x14ac:dyDescent="0.3">
      <c r="A15">
        <v>-2.9096678794019226E-2</v>
      </c>
      <c r="B15">
        <v>4.6721015197533688E-2</v>
      </c>
      <c r="C15">
        <v>-6.8886469816789031E-3</v>
      </c>
      <c r="D15">
        <v>5.5470022851705186E-2</v>
      </c>
    </row>
    <row r="16" spans="1:16" x14ac:dyDescent="0.3">
      <c r="A16">
        <v>2.3556706355009283E-2</v>
      </c>
      <c r="B16">
        <v>-1.1931112909223884E-2</v>
      </c>
      <c r="C16">
        <v>2.9991076923892024E-2</v>
      </c>
      <c r="D16">
        <v>3.9959161209960251E-2</v>
      </c>
    </row>
    <row r="17" spans="1:4" x14ac:dyDescent="0.3">
      <c r="A17">
        <v>0.11539535604310913</v>
      </c>
      <c r="B17">
        <v>-4.9121619728680344E-2</v>
      </c>
      <c r="C17">
        <v>5.77451207507238E-2</v>
      </c>
      <c r="D17">
        <v>0.13807070902838398</v>
      </c>
    </row>
    <row r="18" spans="1:4" x14ac:dyDescent="0.3">
      <c r="A18">
        <v>0.11795583925061237</v>
      </c>
      <c r="B18">
        <v>-2.6508262216538014E-2</v>
      </c>
      <c r="C18">
        <v>9.2952157514218925E-3</v>
      </c>
      <c r="D18">
        <v>0.12125456286227963</v>
      </c>
    </row>
    <row r="19" spans="1:4" x14ac:dyDescent="0.3">
      <c r="A19">
        <v>-8.3154267691156747E-3</v>
      </c>
      <c r="B19">
        <v>-6.3044835364162832E-2</v>
      </c>
      <c r="C19">
        <v>-3.9905934833541323E-2</v>
      </c>
      <c r="D19">
        <v>7.5075170485226134E-2</v>
      </c>
    </row>
    <row r="20" spans="1:4" x14ac:dyDescent="0.3">
      <c r="A20">
        <v>2.6697604361061167E-3</v>
      </c>
      <c r="B20">
        <v>0.12379453275619312</v>
      </c>
      <c r="C20">
        <v>5.8600664650043655E-3</v>
      </c>
      <c r="D20">
        <v>0.12396190681045786</v>
      </c>
    </row>
    <row r="21" spans="1:4" x14ac:dyDescent="0.3">
      <c r="A21">
        <v>-1.0869113148146425E-3</v>
      </c>
      <c r="B21">
        <v>-0.17523550170786706</v>
      </c>
      <c r="C21">
        <v>4.3778838957109656E-2</v>
      </c>
      <c r="D21">
        <v>0.18062460844371869</v>
      </c>
    </row>
    <row r="22" spans="1:4" x14ac:dyDescent="0.3">
      <c r="A22">
        <v>2.696724545626239E-2</v>
      </c>
      <c r="B22">
        <v>-0.1499851632713316</v>
      </c>
      <c r="C22">
        <v>-2.9447170031744463E-3</v>
      </c>
      <c r="D22">
        <v>0.15241867630725275</v>
      </c>
    </row>
    <row r="23" spans="1:4" x14ac:dyDescent="0.3">
      <c r="A23">
        <v>3.6880986302307406E-2</v>
      </c>
      <c r="B23">
        <v>-0.14176455652155084</v>
      </c>
      <c r="C23">
        <v>5.9379489770094551E-2</v>
      </c>
      <c r="D23">
        <v>0.15806112881331619</v>
      </c>
    </row>
    <row r="24" spans="1:4" x14ac:dyDescent="0.3">
      <c r="A24">
        <v>-7.9610968813085492E-2</v>
      </c>
      <c r="B24">
        <v>-0.45574043887734206</v>
      </c>
      <c r="C24">
        <v>0.25835140756407782</v>
      </c>
      <c r="D24">
        <v>0.52988933162860585</v>
      </c>
    </row>
    <row r="25" spans="1:4" x14ac:dyDescent="0.3">
      <c r="A25">
        <v>2.0763451594007165E-2</v>
      </c>
      <c r="B25">
        <v>3.3950737699527167E-2</v>
      </c>
      <c r="C25">
        <v>3.7083718014031319E-2</v>
      </c>
      <c r="D25">
        <v>5.4396467295063977E-2</v>
      </c>
    </row>
    <row r="26" spans="1:4" x14ac:dyDescent="0.3">
      <c r="A26">
        <v>-3.5261650871802885E-3</v>
      </c>
      <c r="B26">
        <v>3.5789463805043109E-2</v>
      </c>
      <c r="C26">
        <v>-2.0135299535809281E-2</v>
      </c>
      <c r="D26">
        <v>4.1215893136887151E-2</v>
      </c>
    </row>
    <row r="27" spans="1:4" x14ac:dyDescent="0.3">
      <c r="A27">
        <v>3.7900839081999038E-2</v>
      </c>
      <c r="B27">
        <v>-0.17316862358838137</v>
      </c>
      <c r="C27">
        <v>3.3927969917499468E-2</v>
      </c>
      <c r="D27">
        <v>0.18048532611084162</v>
      </c>
    </row>
    <row r="28" spans="1:4" x14ac:dyDescent="0.3">
      <c r="A28">
        <v>3.0335569145570673E-2</v>
      </c>
      <c r="B28">
        <v>-9.6332151180590131E-2</v>
      </c>
      <c r="C28">
        <v>6.8063726186323947E-2</v>
      </c>
      <c r="D28">
        <v>0.12178998698100207</v>
      </c>
    </row>
    <row r="29" spans="1:4" x14ac:dyDescent="0.3">
      <c r="A29">
        <v>-2.3090903247066308E-2</v>
      </c>
      <c r="B29">
        <v>-0.24583934481563574</v>
      </c>
      <c r="C29">
        <v>0.17067084435007018</v>
      </c>
      <c r="D29">
        <v>0.3001644722203351</v>
      </c>
    </row>
    <row r="30" spans="1:4" x14ac:dyDescent="0.3">
      <c r="A30">
        <v>-6.466049146865771E-3</v>
      </c>
      <c r="B30">
        <v>-0.1365952028551618</v>
      </c>
      <c r="C30">
        <v>5.9893991738590557E-2</v>
      </c>
      <c r="D30">
        <v>0.14928948215127161</v>
      </c>
    </row>
    <row r="31" spans="1:4" x14ac:dyDescent="0.3">
      <c r="A31">
        <v>-5.2123447715075599E-2</v>
      </c>
      <c r="B31">
        <v>-0.16550584852942052</v>
      </c>
      <c r="C31">
        <v>4.6223030431804091E-2</v>
      </c>
      <c r="D31">
        <v>0.17957062187743628</v>
      </c>
    </row>
    <row r="32" spans="1:4" x14ac:dyDescent="0.3">
      <c r="A32">
        <v>0.12992912538561541</v>
      </c>
      <c r="B32">
        <v>-0.2010553832188684</v>
      </c>
      <c r="C32">
        <v>-8.9222074032022647E-2</v>
      </c>
      <c r="D32">
        <v>0.25547098316508027</v>
      </c>
    </row>
    <row r="33" spans="1:4" x14ac:dyDescent="0.3">
      <c r="A33">
        <v>2.50827014110655E-2</v>
      </c>
      <c r="B33">
        <v>0.32782961138991595</v>
      </c>
      <c r="C33">
        <v>0.14725512764670157</v>
      </c>
      <c r="D33">
        <v>0.36025750322843569</v>
      </c>
    </row>
    <row r="34" spans="1:4" x14ac:dyDescent="0.3">
      <c r="A34">
        <v>1.3199009759944147E-2</v>
      </c>
      <c r="B34">
        <v>-4.0166058067171662E-2</v>
      </c>
      <c r="C34">
        <v>4.6941515255383592E-2</v>
      </c>
      <c r="D34">
        <v>6.3174614630956916E-2</v>
      </c>
    </row>
    <row r="35" spans="1:4" x14ac:dyDescent="0.3">
      <c r="A35">
        <v>4.0413729402644094E-4</v>
      </c>
      <c r="B35">
        <v>-0.3165785776420762</v>
      </c>
      <c r="C35">
        <v>0.14854526623014408</v>
      </c>
      <c r="D35">
        <v>0.34969680477267284</v>
      </c>
    </row>
    <row r="36" spans="1:4" x14ac:dyDescent="0.3">
      <c r="A36">
        <v>8.618398379098835E-3</v>
      </c>
      <c r="B36">
        <v>-0.11330058173562918</v>
      </c>
      <c r="C36">
        <v>3.7463510096813479E-2</v>
      </c>
      <c r="D36">
        <v>0.11964452850434443</v>
      </c>
    </row>
    <row r="37" spans="1:4" x14ac:dyDescent="0.3">
      <c r="A37">
        <v>-1.1300535131169909E-2</v>
      </c>
      <c r="B37">
        <v>4.680744340416787E-2</v>
      </c>
      <c r="C37">
        <v>-2.4275037602876637E-2</v>
      </c>
      <c r="D37">
        <v>5.3925099006921245E-2</v>
      </c>
    </row>
    <row r="38" spans="1:4" x14ac:dyDescent="0.3">
      <c r="A38">
        <v>6.2817689103894736E-2</v>
      </c>
      <c r="B38">
        <v>-0.13757255873580476</v>
      </c>
      <c r="C38">
        <v>2.5923849163746127E-2</v>
      </c>
      <c r="D38">
        <v>0.15344157499496247</v>
      </c>
    </row>
    <row r="39" spans="1:4" x14ac:dyDescent="0.3">
      <c r="A39">
        <v>3.405755159610635E-2</v>
      </c>
      <c r="B39">
        <v>-0.32841054018109617</v>
      </c>
      <c r="C39">
        <v>-0.10330440279187769</v>
      </c>
      <c r="D39">
        <v>0.34595548753986738</v>
      </c>
    </row>
    <row r="40" spans="1:4" x14ac:dyDescent="0.3">
      <c r="A40">
        <v>-2.9134154090115771E-3</v>
      </c>
      <c r="B40">
        <v>0.15113906712615233</v>
      </c>
      <c r="C40">
        <v>-6.7369287256042298E-2</v>
      </c>
      <c r="D40">
        <v>0.16549962678657673</v>
      </c>
    </row>
    <row r="41" spans="1:4" x14ac:dyDescent="0.3">
      <c r="A41">
        <v>1.4164273980796338E-2</v>
      </c>
      <c r="B41">
        <v>-2.9240804200746595E-2</v>
      </c>
      <c r="C41">
        <v>7.1595561297499444E-4</v>
      </c>
      <c r="D41">
        <v>3.2498675052211191E-2</v>
      </c>
    </row>
    <row r="42" spans="1:4" x14ac:dyDescent="0.3">
      <c r="A42">
        <v>-0.13272308784507914</v>
      </c>
      <c r="B42">
        <v>-0.13169922922736532</v>
      </c>
      <c r="C42">
        <v>-0.15656654016993343</v>
      </c>
      <c r="D42">
        <v>0.24387124989837997</v>
      </c>
    </row>
    <row r="43" spans="1:4" x14ac:dyDescent="0.3">
      <c r="A43">
        <v>7.7500416585166931E-2</v>
      </c>
      <c r="B43">
        <v>-0.12758198102814333</v>
      </c>
      <c r="C43">
        <v>-4.6979363860799594E-3</v>
      </c>
      <c r="D43">
        <v>0.14935041700721025</v>
      </c>
    </row>
    <row r="44" spans="1:4" x14ac:dyDescent="0.3">
      <c r="A44">
        <v>1.7039244397665243E-2</v>
      </c>
      <c r="B44">
        <v>-6.0610859415639595E-3</v>
      </c>
      <c r="C44">
        <v>2.4925802600108682E-2</v>
      </c>
      <c r="D44">
        <v>3.0795588120605448E-2</v>
      </c>
    </row>
    <row r="45" spans="1:4" x14ac:dyDescent="0.3">
      <c r="A45">
        <v>4.9075170428523052E-2</v>
      </c>
      <c r="B45">
        <v>-0.12064170093893267</v>
      </c>
      <c r="C45">
        <v>-6.7721660449024057E-2</v>
      </c>
      <c r="D45">
        <v>0.14679582981815376</v>
      </c>
    </row>
    <row r="46" spans="1:4" x14ac:dyDescent="0.3">
      <c r="A46">
        <v>3.0670456477963626E-3</v>
      </c>
      <c r="B46">
        <v>8.3083405463369786E-2</v>
      </c>
      <c r="C46">
        <v>-1.2652354656097486E-2</v>
      </c>
      <c r="D46">
        <v>8.40972122649737E-2</v>
      </c>
    </row>
    <row r="47" spans="1:4" x14ac:dyDescent="0.3">
      <c r="A47">
        <v>-0.14094266283700563</v>
      </c>
      <c r="B47">
        <v>-0.10777155975955566</v>
      </c>
      <c r="C47">
        <v>-9.5643788386951201E-2</v>
      </c>
      <c r="D47">
        <v>0.20156209355332966</v>
      </c>
    </row>
    <row r="48" spans="1:4" x14ac:dyDescent="0.3">
      <c r="A48">
        <v>5.5284260233065652E-2</v>
      </c>
      <c r="B48">
        <v>-0.25776727344440076</v>
      </c>
      <c r="C48">
        <v>-6.9167596563772804E-2</v>
      </c>
      <c r="D48">
        <v>0.27255178059019652</v>
      </c>
    </row>
    <row r="49" spans="1:4" x14ac:dyDescent="0.3">
      <c r="A49">
        <v>8.7048655079797754E-3</v>
      </c>
      <c r="B49">
        <v>-0.26713322692418018</v>
      </c>
      <c r="C49">
        <v>-6.7719310200288874E-2</v>
      </c>
      <c r="D49">
        <v>0.27572058425957335</v>
      </c>
    </row>
    <row r="50" spans="1:4" x14ac:dyDescent="0.3">
      <c r="A50">
        <v>0.10872512268122136</v>
      </c>
      <c r="B50">
        <v>-4.9990997916310675E-2</v>
      </c>
      <c r="C50">
        <v>-0.14341121512597965</v>
      </c>
      <c r="D50">
        <v>0.18678069707179387</v>
      </c>
    </row>
    <row r="51" spans="1:4" x14ac:dyDescent="0.3">
      <c r="A51">
        <v>7.7482539878701573E-3</v>
      </c>
      <c r="B51">
        <v>-9.6569522266975127E-2</v>
      </c>
      <c r="C51">
        <v>0.10031191975070897</v>
      </c>
      <c r="D51">
        <v>0.13945676503778878</v>
      </c>
    </row>
    <row r="52" spans="1:4" x14ac:dyDescent="0.3">
      <c r="A52">
        <v>3.6237136530587577E-2</v>
      </c>
      <c r="B52">
        <v>-4.7263380677392774E-2</v>
      </c>
      <c r="C52">
        <v>-4.6967899072853925E-3</v>
      </c>
      <c r="D52">
        <v>5.9741250844167697E-2</v>
      </c>
    </row>
    <row r="53" spans="1:4" x14ac:dyDescent="0.3">
      <c r="A53">
        <v>-1.6923324345043511E-2</v>
      </c>
      <c r="B53">
        <v>-0.13974403254928802</v>
      </c>
      <c r="C53">
        <v>-0.26805310196016308</v>
      </c>
      <c r="D53">
        <v>0.30276601363179717</v>
      </c>
    </row>
    <row r="54" spans="1:4" x14ac:dyDescent="0.3">
      <c r="A54">
        <v>4.3122239760805314E-2</v>
      </c>
      <c r="B54">
        <v>-8.8384229237931322E-2</v>
      </c>
      <c r="C54">
        <v>-5.2042169242213276E-2</v>
      </c>
      <c r="D54">
        <v>0.11126404144828976</v>
      </c>
    </row>
    <row r="55" spans="1:4" x14ac:dyDescent="0.3">
      <c r="A55">
        <v>3.3634335600197574E-2</v>
      </c>
      <c r="B55">
        <v>-6.849189497088215E-2</v>
      </c>
      <c r="C55">
        <v>3.6014962473700507E-2</v>
      </c>
      <c r="D55">
        <v>8.4377045041593657E-2</v>
      </c>
    </row>
    <row r="56" spans="1:4" x14ac:dyDescent="0.3">
      <c r="A56">
        <v>4.4183716715679111E-2</v>
      </c>
      <c r="B56">
        <v>-0.16535636469809845</v>
      </c>
      <c r="C56">
        <v>6.0813813677214057E-3</v>
      </c>
      <c r="D56">
        <v>0.17126561642174878</v>
      </c>
    </row>
    <row r="57" spans="1:4" x14ac:dyDescent="0.3">
      <c r="A57">
        <v>5.4337769880021369E-2</v>
      </c>
      <c r="B57">
        <v>-0.22477411760089439</v>
      </c>
      <c r="C57">
        <v>-1.2260978306699144E-2</v>
      </c>
      <c r="D57">
        <v>0.23157359255284746</v>
      </c>
    </row>
    <row r="58" spans="1:4" x14ac:dyDescent="0.3">
      <c r="A58">
        <v>8.5325390894013253E-2</v>
      </c>
      <c r="B58">
        <v>0.12139516424468866</v>
      </c>
      <c r="C58">
        <v>-4.5327196959078719E-2</v>
      </c>
      <c r="D58">
        <v>0.15515077511046541</v>
      </c>
    </row>
    <row r="59" spans="1:4" x14ac:dyDescent="0.3">
      <c r="A59">
        <v>1.3668748000696951E-2</v>
      </c>
      <c r="B59">
        <v>-4.2700185065775997E-2</v>
      </c>
      <c r="C59">
        <v>6.5238223716050925E-3</v>
      </c>
      <c r="D59">
        <v>4.5306740501765648E-2</v>
      </c>
    </row>
    <row r="60" spans="1:4" x14ac:dyDescent="0.3">
      <c r="A60">
        <v>6.2686476291901272E-2</v>
      </c>
      <c r="B60">
        <v>-4.978035119620472E-4</v>
      </c>
      <c r="C60">
        <v>-0.23556162102704548</v>
      </c>
      <c r="D60">
        <v>0.24376037294671382</v>
      </c>
    </row>
    <row r="61" spans="1:4" x14ac:dyDescent="0.3">
      <c r="A61">
        <v>6.3165866835220186E-2</v>
      </c>
      <c r="B61">
        <v>-0.14203365724409878</v>
      </c>
      <c r="C61">
        <v>5.338242054548914E-3</v>
      </c>
      <c r="D61">
        <v>0.15553772324234355</v>
      </c>
    </row>
    <row r="62" spans="1:4" x14ac:dyDescent="0.3">
      <c r="A62">
        <v>1.020903183439259E-2</v>
      </c>
      <c r="B62">
        <v>-2.8931712056913916E-2</v>
      </c>
      <c r="C62">
        <v>5.0943612544074313E-3</v>
      </c>
      <c r="D62">
        <v>3.110017379582029E-2</v>
      </c>
    </row>
    <row r="63" spans="1:4" x14ac:dyDescent="0.3">
      <c r="A63">
        <v>9.1655789179185376E-2</v>
      </c>
      <c r="B63">
        <v>-5.826438991454097E-2</v>
      </c>
      <c r="C63">
        <v>-3.2802341357523801E-2</v>
      </c>
      <c r="D63">
        <v>0.11345270565618282</v>
      </c>
    </row>
    <row r="64" spans="1:4" x14ac:dyDescent="0.3">
      <c r="A64">
        <v>1.4426005764725858E-2</v>
      </c>
      <c r="B64">
        <v>5.7626861092302306E-2</v>
      </c>
      <c r="C64">
        <v>5.7710651942102231E-3</v>
      </c>
      <c r="D64">
        <v>5.9684754796775652E-2</v>
      </c>
    </row>
    <row r="65" spans="1:4" x14ac:dyDescent="0.3">
      <c r="A65">
        <v>2.2571108795091277E-2</v>
      </c>
      <c r="B65">
        <v>6.5484663166444079E-3</v>
      </c>
      <c r="C65">
        <v>-0.1151326979879741</v>
      </c>
      <c r="D65">
        <v>0.11750691685739238</v>
      </c>
    </row>
    <row r="66" spans="1:4" x14ac:dyDescent="0.3">
      <c r="A66">
        <v>5.8808489060083957E-2</v>
      </c>
      <c r="B66">
        <v>-0.19370716565086354</v>
      </c>
      <c r="C66">
        <v>-2.2076720529184968E-4</v>
      </c>
      <c r="D66">
        <v>0.2024375290013688</v>
      </c>
    </row>
    <row r="67" spans="1:4" x14ac:dyDescent="0.3">
      <c r="A67">
        <v>1.5023457417100872E-2</v>
      </c>
      <c r="B67">
        <v>-0.17758309671284778</v>
      </c>
      <c r="C67">
        <v>-1.812384440711412E-3</v>
      </c>
      <c r="D67">
        <v>0.17822666817356214</v>
      </c>
    </row>
    <row r="68" spans="1:4" x14ac:dyDescent="0.3">
      <c r="A68">
        <v>0.176319750912171</v>
      </c>
      <c r="B68">
        <v>5.7763498798998114E-2</v>
      </c>
      <c r="C68">
        <v>-0.13101293894214905</v>
      </c>
      <c r="D68">
        <v>0.22713358740065537</v>
      </c>
    </row>
    <row r="69" spans="1:4" x14ac:dyDescent="0.3">
      <c r="A69">
        <v>-1.7339209709405168E-2</v>
      </c>
      <c r="B69">
        <v>-0.1337394065254216</v>
      </c>
      <c r="C69">
        <v>4.0798164508203172E-2</v>
      </c>
      <c r="D69">
        <v>0.14089488024182115</v>
      </c>
    </row>
    <row r="70" spans="1:4" x14ac:dyDescent="0.3">
      <c r="A70">
        <v>3.6058941879787199E-2</v>
      </c>
      <c r="B70">
        <v>-5.6422666766735574E-2</v>
      </c>
      <c r="C70">
        <v>1.0700594507511596E-2</v>
      </c>
      <c r="D70">
        <v>6.7810525269858701E-2</v>
      </c>
    </row>
    <row r="71" spans="1:4" x14ac:dyDescent="0.3">
      <c r="A71">
        <v>7.3140410338055517E-2</v>
      </c>
      <c r="B71">
        <v>-0.10472930055220786</v>
      </c>
      <c r="C71">
        <v>-0.21096232228592271</v>
      </c>
      <c r="D71">
        <v>0.24662288507525684</v>
      </c>
    </row>
    <row r="72" spans="1:4" x14ac:dyDescent="0.3">
      <c r="A72">
        <v>6.7914034369891851E-2</v>
      </c>
      <c r="B72">
        <v>0.11529368057014722</v>
      </c>
      <c r="C72">
        <v>-3.2312560631112319E-2</v>
      </c>
      <c r="D72">
        <v>0.13765554990026849</v>
      </c>
    </row>
    <row r="73" spans="1:4" x14ac:dyDescent="0.3">
      <c r="A73">
        <v>2.3381571347727004E-2</v>
      </c>
      <c r="B73">
        <v>-9.1891929769566172E-2</v>
      </c>
      <c r="C73">
        <v>1.0401062973301123E-2</v>
      </c>
      <c r="D73">
        <v>9.5388713936389272E-2</v>
      </c>
    </row>
    <row r="74" spans="1:4" x14ac:dyDescent="0.3">
      <c r="A74">
        <v>1.0550427163934728E-2</v>
      </c>
      <c r="B74">
        <v>-4.1025642771110427E-2</v>
      </c>
      <c r="C74">
        <v>-1.719266570887612E-3</v>
      </c>
      <c r="D74">
        <v>4.2395409606064999E-2</v>
      </c>
    </row>
    <row r="75" spans="1:4" x14ac:dyDescent="0.3">
      <c r="A75">
        <v>8.5713464561649744E-3</v>
      </c>
      <c r="B75">
        <v>6.0801124219587166E-2</v>
      </c>
      <c r="C75">
        <v>-3.7905140237455726E-2</v>
      </c>
      <c r="D75">
        <v>7.2159852708126193E-2</v>
      </c>
    </row>
    <row r="76" spans="1:4" x14ac:dyDescent="0.3">
      <c r="A76">
        <v>9.8585337851773147E-3</v>
      </c>
      <c r="B76">
        <v>0.30369991260884177</v>
      </c>
      <c r="C76">
        <v>-5.342396058608756E-2</v>
      </c>
      <c r="D76">
        <v>0.30852057819814133</v>
      </c>
    </row>
    <row r="77" spans="1:4" x14ac:dyDescent="0.3">
      <c r="A77">
        <v>1.9854299273504239E-2</v>
      </c>
      <c r="B77">
        <v>1.281761497178735E-2</v>
      </c>
      <c r="C77">
        <v>-3.1981470125970191E-3</v>
      </c>
      <c r="D77">
        <v>2.3847695853500005E-2</v>
      </c>
    </row>
    <row r="78" spans="1:4" x14ac:dyDescent="0.3">
      <c r="A78">
        <v>-1.3408424093995563E-2</v>
      </c>
      <c r="B78">
        <v>0.20891372735979985</v>
      </c>
      <c r="C78">
        <v>-0.20757026988690086</v>
      </c>
      <c r="D78">
        <v>0.29480527175912252</v>
      </c>
    </row>
    <row r="79" spans="1:4" x14ac:dyDescent="0.3">
      <c r="A79">
        <v>2.4746593408394801E-2</v>
      </c>
      <c r="B79">
        <v>-2.160106541801099E-2</v>
      </c>
      <c r="C79">
        <v>-1.6732655259644957E-2</v>
      </c>
      <c r="D79">
        <v>3.6864368495224807E-2</v>
      </c>
    </row>
    <row r="80" spans="1:4" x14ac:dyDescent="0.3">
      <c r="A80">
        <v>2.9947791213658093E-3</v>
      </c>
      <c r="B80">
        <v>3.4988332451519888E-3</v>
      </c>
      <c r="C80">
        <v>-3.6639518368986046E-3</v>
      </c>
      <c r="D80">
        <v>5.885157527735517E-3</v>
      </c>
    </row>
    <row r="81" spans="1:4" x14ac:dyDescent="0.3">
      <c r="A81">
        <v>2.4216201237550194E-2</v>
      </c>
      <c r="B81">
        <v>0.13341172318621375</v>
      </c>
      <c r="C81">
        <v>-4.5772748142326236E-2</v>
      </c>
      <c r="D81">
        <v>0.14310924763408298</v>
      </c>
    </row>
    <row r="82" spans="1:4" x14ac:dyDescent="0.3">
      <c r="A82">
        <v>1.3196802729268597E-2</v>
      </c>
      <c r="B82">
        <v>0.1202875709046225</v>
      </c>
      <c r="C82">
        <v>-2.4211143010802516E-2</v>
      </c>
      <c r="D82">
        <v>0.12340759604780958</v>
      </c>
    </row>
    <row r="83" spans="1:4" x14ac:dyDescent="0.3">
      <c r="A83">
        <v>-1.2275167818870614E-2</v>
      </c>
      <c r="B83">
        <v>0.21858802565532187</v>
      </c>
      <c r="C83">
        <v>-0.17563036098204066</v>
      </c>
      <c r="D83">
        <v>0.28067317008142229</v>
      </c>
    </row>
    <row r="84" spans="1:4" x14ac:dyDescent="0.3">
      <c r="A84">
        <v>1.4235352085052E-2</v>
      </c>
      <c r="B84">
        <v>4.1590027752704373E-2</v>
      </c>
      <c r="C84">
        <v>-3.4863357513984283E-2</v>
      </c>
      <c r="D84">
        <v>5.6105519822955016E-2</v>
      </c>
    </row>
    <row r="85" spans="1:4" x14ac:dyDescent="0.3">
      <c r="A85">
        <v>5.1671357159648323E-3</v>
      </c>
      <c r="B85">
        <v>2.4044878557671012E-2</v>
      </c>
      <c r="C85">
        <v>-3.7011469992592083E-2</v>
      </c>
      <c r="D85">
        <v>4.4437646060214428E-2</v>
      </c>
    </row>
    <row r="86" spans="1:4" x14ac:dyDescent="0.3">
      <c r="A86">
        <v>-7.6911685823688458E-3</v>
      </c>
      <c r="B86">
        <v>0.18791961477269226</v>
      </c>
      <c r="C86">
        <v>-2.8601155969909087E-2</v>
      </c>
      <c r="D86">
        <v>0.19023922259432868</v>
      </c>
    </row>
    <row r="87" spans="1:4" x14ac:dyDescent="0.3">
      <c r="A87">
        <v>-7.5742709788073626E-3</v>
      </c>
      <c r="B87">
        <v>-2.2749905584703356E-2</v>
      </c>
      <c r="C87">
        <v>-2.3719312363198242E-2</v>
      </c>
      <c r="D87">
        <v>3.3727341489602901E-2</v>
      </c>
    </row>
    <row r="88" spans="1:4" x14ac:dyDescent="0.3">
      <c r="A88">
        <v>1.3710050375834726E-2</v>
      </c>
      <c r="B88">
        <v>4.6589711929243549E-2</v>
      </c>
      <c r="C88">
        <v>-1.1615412907303835E-2</v>
      </c>
      <c r="D88">
        <v>4.9934803053231169E-2</v>
      </c>
    </row>
    <row r="89" spans="1:4" x14ac:dyDescent="0.3">
      <c r="A89">
        <v>-3.2090824728129519E-2</v>
      </c>
      <c r="B89">
        <v>0.14525858892454835</v>
      </c>
      <c r="C89">
        <v>-0.17318132282480292</v>
      </c>
      <c r="D89">
        <v>0.2283016628573499</v>
      </c>
    </row>
    <row r="90" spans="1:4" x14ac:dyDescent="0.3">
      <c r="A90">
        <v>1.5971427248814507E-2</v>
      </c>
      <c r="B90">
        <v>0.17964849776571157</v>
      </c>
      <c r="C90">
        <v>-4.9466092570241926E-2</v>
      </c>
      <c r="D90">
        <v>0.18701754878087989</v>
      </c>
    </row>
    <row r="91" spans="1:4" x14ac:dyDescent="0.3">
      <c r="A91">
        <v>8.8031263359766854E-3</v>
      </c>
      <c r="B91">
        <v>-3.8018867242366028E-2</v>
      </c>
      <c r="C91">
        <v>-2.6733767762721072E-3</v>
      </c>
      <c r="D91">
        <v>3.9116189015134514E-2</v>
      </c>
    </row>
    <row r="92" spans="1:4" x14ac:dyDescent="0.3">
      <c r="A92">
        <v>3.484711918326866E-2</v>
      </c>
      <c r="B92">
        <v>-0.136574585786569</v>
      </c>
      <c r="C92">
        <v>8.3408500208861369E-3</v>
      </c>
      <c r="D92">
        <v>0.14119670313862412</v>
      </c>
    </row>
    <row r="93" spans="1:4" x14ac:dyDescent="0.3">
      <c r="A93">
        <v>2.6485606229016412E-2</v>
      </c>
      <c r="B93">
        <v>-0.31810831915674953</v>
      </c>
      <c r="C93">
        <v>-3.123935364578756E-2</v>
      </c>
      <c r="D93">
        <v>0.32073398209459736</v>
      </c>
    </row>
    <row r="94" spans="1:4" x14ac:dyDescent="0.3">
      <c r="A94">
        <v>2.1361843412364578E-2</v>
      </c>
      <c r="B94">
        <v>2.0737529294272861E-2</v>
      </c>
      <c r="C94">
        <v>-1.2837392344863474E-2</v>
      </c>
      <c r="D94">
        <v>3.2421784611911295E-2</v>
      </c>
    </row>
    <row r="95" spans="1:4" x14ac:dyDescent="0.3">
      <c r="A95">
        <v>1.1347972104488235E-2</v>
      </c>
      <c r="B95">
        <v>-1.9388737635431141E-2</v>
      </c>
      <c r="C95">
        <v>-4.3004179980243862E-3</v>
      </c>
      <c r="D95">
        <v>2.2873417167916979E-2</v>
      </c>
    </row>
    <row r="96" spans="1:4" x14ac:dyDescent="0.3">
      <c r="A96">
        <v>-0.13223706144106018</v>
      </c>
      <c r="B96">
        <v>-0.13046363098442271</v>
      </c>
      <c r="C96">
        <v>-0.16879572242282848</v>
      </c>
      <c r="D96">
        <v>0.25099680343871095</v>
      </c>
    </row>
    <row r="97" spans="1:4" x14ac:dyDescent="0.3">
      <c r="A97">
        <v>3.6700794972034601E-2</v>
      </c>
      <c r="B97">
        <v>-0.17439277052375246</v>
      </c>
      <c r="C97">
        <v>-9.1822061024231516E-3</v>
      </c>
      <c r="D97">
        <v>0.17844915150102811</v>
      </c>
    </row>
    <row r="98" spans="1:4" x14ac:dyDescent="0.3">
      <c r="A98">
        <v>1.0686853484401126E-2</v>
      </c>
      <c r="B98">
        <v>-2.6361776478010857E-2</v>
      </c>
      <c r="C98">
        <v>1.0542225882119283E-2</v>
      </c>
      <c r="D98">
        <v>3.0336292176587579E-2</v>
      </c>
    </row>
    <row r="99" spans="1:4" x14ac:dyDescent="0.3">
      <c r="A99">
        <v>3.2462632904980637E-2</v>
      </c>
      <c r="B99">
        <v>-0.13208332699005609</v>
      </c>
      <c r="C99">
        <v>-2.2138290191946908E-2</v>
      </c>
      <c r="D99">
        <v>0.13780396110601634</v>
      </c>
    </row>
    <row r="100" spans="1:4" x14ac:dyDescent="0.3">
      <c r="A100">
        <v>-3.5697345983933815E-3</v>
      </c>
      <c r="B100">
        <v>2.5731952112550971E-2</v>
      </c>
      <c r="C100">
        <v>4.6335144601812317E-3</v>
      </c>
      <c r="D100">
        <v>2.6388365255890552E-2</v>
      </c>
    </row>
    <row r="101" spans="1:4" x14ac:dyDescent="0.3">
      <c r="A101">
        <v>-0.1623145933140222</v>
      </c>
      <c r="B101">
        <v>-0.15637908444716686</v>
      </c>
      <c r="C101">
        <v>-6.6807941896058765E-2</v>
      </c>
      <c r="D101">
        <v>0.23508242459958112</v>
      </c>
    </row>
    <row r="102" spans="1:4" x14ac:dyDescent="0.3">
      <c r="A102">
        <v>1.4122289793931486E-2</v>
      </c>
      <c r="B102">
        <v>-0.291400781407404</v>
      </c>
      <c r="C102">
        <v>-1.6174701520981216E-2</v>
      </c>
      <c r="D102">
        <v>0.29219082025820431</v>
      </c>
    </row>
    <row r="103" spans="1:4" x14ac:dyDescent="0.3">
      <c r="A103">
        <v>-8.1609907981601282E-3</v>
      </c>
      <c r="B103">
        <v>-0.26511804195403954</v>
      </c>
      <c r="C103">
        <v>1.9285111595763738E-3</v>
      </c>
      <c r="D103">
        <v>0.26525063071676969</v>
      </c>
    </row>
    <row r="104" spans="1:4" x14ac:dyDescent="0.3">
      <c r="A104">
        <v>0.11730561092701919</v>
      </c>
      <c r="B104">
        <v>-2.7863600533070354E-2</v>
      </c>
      <c r="C104">
        <v>-9.2962774225952671E-2</v>
      </c>
      <c r="D104">
        <v>0.15224672075750326</v>
      </c>
    </row>
    <row r="105" spans="1:4" x14ac:dyDescent="0.3">
      <c r="A105">
        <v>-5.1912358672325354E-2</v>
      </c>
      <c r="B105">
        <v>-0.1029369519580996</v>
      </c>
      <c r="C105">
        <v>-1.0679890930077818E-2</v>
      </c>
      <c r="D105">
        <v>0.11577983041802496</v>
      </c>
    </row>
    <row r="106" spans="1:4" x14ac:dyDescent="0.3">
      <c r="A106">
        <v>1.3859297359601896E-2</v>
      </c>
      <c r="B106">
        <v>-7.0386894114989218E-2</v>
      </c>
      <c r="C106">
        <v>-1.1198103060024778E-2</v>
      </c>
      <c r="D106">
        <v>7.260711052369119E-2</v>
      </c>
    </row>
    <row r="107" spans="1:4" x14ac:dyDescent="0.3">
      <c r="A107">
        <v>-0.13265177592893451</v>
      </c>
      <c r="B107">
        <v>-0.27216747694421883</v>
      </c>
      <c r="C107">
        <v>-0.17728834463684962</v>
      </c>
      <c r="D107">
        <v>0.35086006656123819</v>
      </c>
    </row>
    <row r="108" spans="1:4" x14ac:dyDescent="0.3">
      <c r="A108">
        <v>-4.2409309332924749E-4</v>
      </c>
      <c r="B108">
        <v>4.1198481795561293E-2</v>
      </c>
      <c r="C108">
        <v>-9.7355539002137448E-3</v>
      </c>
      <c r="D108">
        <v>4.2335278042726632E-2</v>
      </c>
    </row>
    <row r="109" spans="1:4" x14ac:dyDescent="0.3">
      <c r="A109">
        <v>2.2787155957814775E-2</v>
      </c>
      <c r="B109">
        <v>-0.10699002230167487</v>
      </c>
      <c r="C109">
        <v>2.1705637267814382E-2</v>
      </c>
      <c r="D109">
        <v>0.11152243737455074</v>
      </c>
    </row>
    <row r="110" spans="1:4" x14ac:dyDescent="0.3">
      <c r="A110">
        <v>-7.0089286940628881E-3</v>
      </c>
      <c r="B110">
        <v>-6.4163894031345592E-2</v>
      </c>
      <c r="C110">
        <v>-6.2294242384837162E-3</v>
      </c>
      <c r="D110">
        <v>6.484547867852633E-2</v>
      </c>
    </row>
    <row r="111" spans="1:4" x14ac:dyDescent="0.3">
      <c r="A111">
        <v>-5.2401875680061494E-3</v>
      </c>
      <c r="B111">
        <v>0.1878663377720855</v>
      </c>
      <c r="C111">
        <v>-1.6321882946442656E-2</v>
      </c>
      <c r="D111">
        <v>0.18864682424191662</v>
      </c>
    </row>
    <row r="112" spans="1:4" x14ac:dyDescent="0.3">
      <c r="A112">
        <v>-2.3458429830270688E-2</v>
      </c>
      <c r="B112">
        <v>0.51808349767566853</v>
      </c>
      <c r="C112">
        <v>-3.7325133708009162E-2</v>
      </c>
      <c r="D112">
        <v>0.51995574244379394</v>
      </c>
    </row>
    <row r="113" spans="1:4" x14ac:dyDescent="0.3">
      <c r="A113">
        <v>4.604182881359975E-2</v>
      </c>
      <c r="B113">
        <v>1.1839041785144389E-2</v>
      </c>
      <c r="C113">
        <v>-7.791988201120148E-4</v>
      </c>
      <c r="D113">
        <v>4.7545978396626595E-2</v>
      </c>
    </row>
    <row r="114" spans="1:4" x14ac:dyDescent="0.3">
      <c r="A114">
        <v>9.331486572796166E-2</v>
      </c>
      <c r="B114">
        <v>0.51819985798556445</v>
      </c>
      <c r="C114">
        <v>-0.35154382292103037</v>
      </c>
      <c r="D114">
        <v>0.63310490158900168</v>
      </c>
    </row>
    <row r="115" spans="1:4" x14ac:dyDescent="0.3">
      <c r="A115">
        <v>1.1870486197381069E-2</v>
      </c>
      <c r="B115">
        <v>-9.564899308898589E-3</v>
      </c>
      <c r="C115">
        <v>-2.2955782805354374E-2</v>
      </c>
      <c r="D115">
        <v>2.7556554675034883E-2</v>
      </c>
    </row>
    <row r="116" spans="1:4" x14ac:dyDescent="0.3">
      <c r="A116">
        <v>-4.9438726708217473E-3</v>
      </c>
      <c r="B116">
        <v>2.213755609299195E-2</v>
      </c>
      <c r="C116">
        <v>8.5199401856925761E-3</v>
      </c>
      <c r="D116">
        <v>2.4230201144923299E-2</v>
      </c>
    </row>
    <row r="117" spans="1:4" x14ac:dyDescent="0.3">
      <c r="A117">
        <v>-2.3929644439704134E-3</v>
      </c>
      <c r="B117">
        <v>0.18654247924838785</v>
      </c>
      <c r="C117">
        <v>-2.3267642600558247E-2</v>
      </c>
      <c r="D117">
        <v>0.18800320751293748</v>
      </c>
    </row>
    <row r="118" spans="1:4" x14ac:dyDescent="0.3">
      <c r="A118">
        <v>6.0442294455924639E-2</v>
      </c>
      <c r="B118">
        <v>0.46131980409722928</v>
      </c>
      <c r="C118">
        <v>-0.26984604473318541</v>
      </c>
      <c r="D118">
        <v>0.5378532517978738</v>
      </c>
    </row>
    <row r="119" spans="1:4" x14ac:dyDescent="0.3">
      <c r="A119">
        <v>-1.0932552487020075E-2</v>
      </c>
      <c r="B119">
        <v>0.11425422263609164</v>
      </c>
      <c r="C119">
        <v>-2.4277341382003215E-2</v>
      </c>
      <c r="D119">
        <v>0.11731554627856178</v>
      </c>
    </row>
    <row r="120" spans="1:4" x14ac:dyDescent="0.3">
      <c r="A120">
        <v>-1.9611666949003848E-2</v>
      </c>
      <c r="B120">
        <v>0.14123986390237775</v>
      </c>
      <c r="C120">
        <v>-1.7357831747006003E-2</v>
      </c>
      <c r="D120">
        <v>0.14364752332928754</v>
      </c>
    </row>
    <row r="121" spans="1:4" x14ac:dyDescent="0.3">
      <c r="A121">
        <v>-3.8690023771550841E-2</v>
      </c>
      <c r="B121">
        <v>0.32148217889383801</v>
      </c>
      <c r="C121">
        <v>-5.4795776420633047E-3</v>
      </c>
      <c r="D121">
        <v>0.32384832106544603</v>
      </c>
    </row>
    <row r="122" spans="1:4" x14ac:dyDescent="0.3">
      <c r="A122">
        <v>7.4030564936151677E-3</v>
      </c>
      <c r="B122">
        <v>-0.11878724627291604</v>
      </c>
      <c r="C122">
        <v>-0.10969560290470781</v>
      </c>
      <c r="D122">
        <v>0.16185901401892144</v>
      </c>
    </row>
    <row r="123" spans="1:4" x14ac:dyDescent="0.3">
      <c r="A123">
        <v>1.1413972885009116E-2</v>
      </c>
      <c r="B123">
        <v>6.6463221313711074E-2</v>
      </c>
      <c r="C123">
        <v>-2.3518819885879338E-2</v>
      </c>
      <c r="D123">
        <v>7.1419699335963982E-2</v>
      </c>
    </row>
    <row r="124" spans="1:4" x14ac:dyDescent="0.3">
      <c r="A124">
        <v>0.12692207745794803</v>
      </c>
      <c r="B124">
        <v>0.51816850341754161</v>
      </c>
      <c r="C124">
        <v>-0.34981370461150618</v>
      </c>
      <c r="D124">
        <v>0.63794783455564952</v>
      </c>
    </row>
    <row r="125" spans="1:4" x14ac:dyDescent="0.3">
      <c r="A125">
        <v>-6.1758740635013964E-3</v>
      </c>
      <c r="B125">
        <v>0.28787818464140003</v>
      </c>
      <c r="C125">
        <v>-2.6283813572149484E-2</v>
      </c>
      <c r="D125">
        <v>0.28914153881580512</v>
      </c>
    </row>
    <row r="126" spans="1:4" x14ac:dyDescent="0.3">
      <c r="A126">
        <v>2.512244367949279E-4</v>
      </c>
      <c r="B126">
        <v>-8.1400531360250383E-2</v>
      </c>
      <c r="C126">
        <v>-7.4513086622687297E-3</v>
      </c>
      <c r="D126">
        <v>8.1741247973279377E-2</v>
      </c>
    </row>
    <row r="127" spans="1:4" x14ac:dyDescent="0.3">
      <c r="A127">
        <v>6.8173556956026005E-3</v>
      </c>
      <c r="B127">
        <v>-0.10972188669423844</v>
      </c>
      <c r="C127">
        <v>-2.0526934108318073E-2</v>
      </c>
      <c r="D127">
        <v>0.11183346450106468</v>
      </c>
    </row>
    <row r="128" spans="1:4" x14ac:dyDescent="0.3">
      <c r="A128">
        <v>1.844503615393478E-2</v>
      </c>
      <c r="B128">
        <v>4.8961263209577055E-2</v>
      </c>
      <c r="C128">
        <v>-8.5445810539113154E-3</v>
      </c>
      <c r="D128">
        <v>5.3013531472486386E-2</v>
      </c>
    </row>
    <row r="129" spans="1:4" x14ac:dyDescent="0.3">
      <c r="A129">
        <v>1.6101032396022674E-2</v>
      </c>
      <c r="B129">
        <v>0.25832882221551756</v>
      </c>
      <c r="C129">
        <v>-2.2715642117873358E-2</v>
      </c>
      <c r="D129">
        <v>0.25982498730549675</v>
      </c>
    </row>
    <row r="130" spans="1:4" x14ac:dyDescent="0.3">
      <c r="A130">
        <v>2.108929398610826E-2</v>
      </c>
      <c r="B130">
        <v>3.816222619759202E-2</v>
      </c>
      <c r="C130">
        <v>-7.4278208629152687E-3</v>
      </c>
      <c r="D130">
        <v>4.4229925977331677E-2</v>
      </c>
    </row>
    <row r="131" spans="1:4" x14ac:dyDescent="0.3">
      <c r="A131">
        <v>0.1554783882539823</v>
      </c>
      <c r="B131">
        <v>0.38556897348757957</v>
      </c>
      <c r="C131">
        <v>-0.34669357466782458</v>
      </c>
      <c r="D131">
        <v>0.54132559263928792</v>
      </c>
    </row>
    <row r="132" spans="1:4" x14ac:dyDescent="0.3">
      <c r="A132">
        <v>1.1859969166835072E-2</v>
      </c>
      <c r="B132">
        <v>-0.12571469421529002</v>
      </c>
      <c r="C132">
        <v>-3.9922901048001336E-2</v>
      </c>
      <c r="D132">
        <v>0.13243368619188495</v>
      </c>
    </row>
    <row r="133" spans="1:4" x14ac:dyDescent="0.3">
      <c r="A133">
        <v>-6.3493030103245474E-3</v>
      </c>
      <c r="B133">
        <v>2.145756891118733E-3</v>
      </c>
      <c r="C133">
        <v>4.845471212576058E-3</v>
      </c>
      <c r="D133">
        <v>8.2702184145645868E-3</v>
      </c>
    </row>
    <row r="134" spans="1:4" x14ac:dyDescent="0.3">
      <c r="A134">
        <v>2.4063446813102018E-2</v>
      </c>
      <c r="B134">
        <v>6.8175102226774698E-2</v>
      </c>
      <c r="C134">
        <v>-2.467759544947512E-2</v>
      </c>
      <c r="D134">
        <v>7.6392916905470537E-2</v>
      </c>
    </row>
    <row r="135" spans="1:4" x14ac:dyDescent="0.3">
      <c r="A135">
        <v>0.17579236350911742</v>
      </c>
      <c r="B135">
        <v>0.44539361855629522</v>
      </c>
      <c r="C135">
        <v>-0.33565191185289223</v>
      </c>
      <c r="D135">
        <v>0.58475690372093425</v>
      </c>
    </row>
    <row r="136" spans="1:4" x14ac:dyDescent="0.3">
      <c r="A136">
        <v>1.2907954882848571E-2</v>
      </c>
      <c r="B136">
        <v>9.0208242575187114E-3</v>
      </c>
      <c r="C136">
        <v>-2.2727188959152045E-2</v>
      </c>
      <c r="D136">
        <v>2.7649876808544645E-2</v>
      </c>
    </row>
    <row r="137" spans="1:4" x14ac:dyDescent="0.3">
      <c r="A137">
        <v>-7.8253676620079204E-3</v>
      </c>
      <c r="B137">
        <v>1.012224218911939E-2</v>
      </c>
      <c r="C137">
        <v>-1.6194572477559177E-2</v>
      </c>
      <c r="D137">
        <v>2.0638806741468969E-2</v>
      </c>
    </row>
    <row r="138" spans="1:4" x14ac:dyDescent="0.3">
      <c r="A138">
        <v>-2.3839066318714686E-2</v>
      </c>
      <c r="B138">
        <v>0.1712090414077494</v>
      </c>
      <c r="C138">
        <v>-5.3835303858704719E-3</v>
      </c>
      <c r="D138">
        <v>0.17294455568801267</v>
      </c>
    </row>
    <row r="139" spans="1:4" x14ac:dyDescent="0.3">
      <c r="A139">
        <v>-1.6655503626282098E-2</v>
      </c>
      <c r="B139">
        <v>-0.23758254182331484</v>
      </c>
      <c r="C139">
        <v>-0.13528567137120717</v>
      </c>
      <c r="D139">
        <v>0.27390706974926826</v>
      </c>
    </row>
    <row r="140" spans="1:4" x14ac:dyDescent="0.3">
      <c r="A140">
        <v>2.4185838889991373E-2</v>
      </c>
      <c r="B140">
        <v>-3.560012798193668E-2</v>
      </c>
      <c r="C140">
        <v>-1.9350086301614056E-2</v>
      </c>
      <c r="D140">
        <v>4.7188449381419625E-2</v>
      </c>
    </row>
    <row r="141" spans="1:4" x14ac:dyDescent="0.3">
      <c r="A141">
        <v>0.1163072653830568</v>
      </c>
      <c r="B141">
        <v>0.30336109154097812</v>
      </c>
      <c r="C141">
        <v>-0.25160740417925354</v>
      </c>
      <c r="D141">
        <v>0.41092775238433427</v>
      </c>
    </row>
    <row r="142" spans="1:4" x14ac:dyDescent="0.3">
      <c r="A142">
        <v>4.8976936808458049E-3</v>
      </c>
      <c r="B142">
        <v>0.23877928207447496</v>
      </c>
      <c r="C142">
        <v>-2.3231944352460232E-2</v>
      </c>
      <c r="D142">
        <v>0.23995677983709668</v>
      </c>
    </row>
    <row r="143" spans="1:4" x14ac:dyDescent="0.3">
      <c r="A143">
        <v>8.0085555206323988E-3</v>
      </c>
      <c r="B143">
        <v>-5.5211871636115184E-2</v>
      </c>
      <c r="C143">
        <v>-7.4565044661767388E-4</v>
      </c>
      <c r="D143">
        <v>5.5794656784305549E-2</v>
      </c>
    </row>
    <row r="144" spans="1:4" x14ac:dyDescent="0.3">
      <c r="A144">
        <v>1.2754800238781172E-2</v>
      </c>
      <c r="B144">
        <v>-5.3511717469916675E-2</v>
      </c>
      <c r="C144">
        <v>1.1286125219214682E-2</v>
      </c>
      <c r="D144">
        <v>5.6156615444444224E-2</v>
      </c>
    </row>
    <row r="145" spans="1:4" x14ac:dyDescent="0.3">
      <c r="A145">
        <v>1.4342810967036712E-2</v>
      </c>
      <c r="B145">
        <v>-9.2231535602969927E-2</v>
      </c>
      <c r="C145">
        <v>-4.1045517327688685E-2</v>
      </c>
      <c r="D145">
        <v>0.10196620459159815</v>
      </c>
    </row>
    <row r="146" spans="1:4" x14ac:dyDescent="0.3">
      <c r="A146">
        <v>-6.3405092788570983E-3</v>
      </c>
      <c r="B146">
        <v>9.8310346736219856E-2</v>
      </c>
      <c r="C146">
        <v>-3.0473556430024473E-2</v>
      </c>
      <c r="D146">
        <v>0.10312014339984663</v>
      </c>
    </row>
    <row r="147" spans="1:4" x14ac:dyDescent="0.3">
      <c r="A147">
        <v>1.7285713926696644E-2</v>
      </c>
      <c r="B147">
        <v>-2.1408102587891165E-2</v>
      </c>
      <c r="C147">
        <v>1.3718509063323836E-2</v>
      </c>
      <c r="D147">
        <v>3.0745735530147346E-2</v>
      </c>
    </row>
    <row r="148" spans="1:4" x14ac:dyDescent="0.3">
      <c r="A148">
        <v>2.2227136485867049E-2</v>
      </c>
      <c r="B148">
        <v>-9.3642194744205653E-2</v>
      </c>
      <c r="C148">
        <v>-1.488081408191988E-2</v>
      </c>
      <c r="D148">
        <v>9.7387601164695303E-2</v>
      </c>
    </row>
    <row r="149" spans="1:4" x14ac:dyDescent="0.3">
      <c r="A149">
        <v>-2.7221158208590168E-3</v>
      </c>
      <c r="B149">
        <v>1.1986507942295166E-2</v>
      </c>
      <c r="C149">
        <v>-1.7012566061964662E-3</v>
      </c>
      <c r="D149">
        <v>1.2408890411032051E-2</v>
      </c>
    </row>
    <row r="150" spans="1:4" x14ac:dyDescent="0.3">
      <c r="A150">
        <v>2.5818808441499641E-2</v>
      </c>
      <c r="B150">
        <v>-2.4853641408910221E-2</v>
      </c>
      <c r="C150">
        <v>-2.8591139656896303E-2</v>
      </c>
      <c r="D150">
        <v>4.5845039290000597E-2</v>
      </c>
    </row>
    <row r="151" spans="1:4" x14ac:dyDescent="0.3">
      <c r="A151">
        <v>-1.9417914844623851E-3</v>
      </c>
      <c r="B151">
        <v>-5.0955398843498756E-2</v>
      </c>
      <c r="C151">
        <v>4.8029536054002619E-2</v>
      </c>
      <c r="D151">
        <v>7.0050407272419929E-2</v>
      </c>
    </row>
    <row r="152" spans="1:4" x14ac:dyDescent="0.3">
      <c r="A152">
        <v>1.1160924861087551E-2</v>
      </c>
      <c r="B152">
        <v>-9.8531698431145287E-2</v>
      </c>
      <c r="C152">
        <v>-2.912238319493099E-2</v>
      </c>
      <c r="D152">
        <v>0.10334977040338987</v>
      </c>
    </row>
    <row r="153" spans="1:4" x14ac:dyDescent="0.3">
      <c r="A153">
        <v>-2.9488846610092878E-3</v>
      </c>
      <c r="B153">
        <v>-0.10399532956925839</v>
      </c>
      <c r="C153">
        <v>-4.2694533641792987E-2</v>
      </c>
      <c r="D153">
        <v>0.11245687038083887</v>
      </c>
    </row>
    <row r="154" spans="1:4" x14ac:dyDescent="0.3">
      <c r="A154">
        <v>-3.675966127218544E-2</v>
      </c>
      <c r="B154">
        <v>2.9011179505680218E-3</v>
      </c>
      <c r="C154">
        <v>-1.8181364710926573E-2</v>
      </c>
      <c r="D154">
        <v>4.1112664775718982E-2</v>
      </c>
    </row>
    <row r="155" spans="1:4" x14ac:dyDescent="0.3">
      <c r="A155">
        <v>-1.8736969138615223E-2</v>
      </c>
      <c r="B155">
        <v>-7.146098383844901E-2</v>
      </c>
      <c r="C155">
        <v>1.7565495108499363E-2</v>
      </c>
      <c r="D155">
        <v>7.59361102642689E-2</v>
      </c>
    </row>
    <row r="156" spans="1:4" x14ac:dyDescent="0.3">
      <c r="A156">
        <v>7.2137120595243687E-3</v>
      </c>
      <c r="B156">
        <v>-3.4175168209614526E-2</v>
      </c>
      <c r="C156">
        <v>3.0453071951797028E-3</v>
      </c>
      <c r="D156">
        <v>3.506071390810786E-2</v>
      </c>
    </row>
    <row r="157" spans="1:4" x14ac:dyDescent="0.3">
      <c r="A157">
        <v>1.1200243502798912E-2</v>
      </c>
      <c r="B157">
        <v>1.0695047731203999E-2</v>
      </c>
      <c r="C157">
        <v>-1.8774548001033509E-2</v>
      </c>
      <c r="D157">
        <v>2.4337484527736888E-2</v>
      </c>
    </row>
    <row r="158" spans="1:4" x14ac:dyDescent="0.3">
      <c r="A158">
        <v>5.3295779955533362E-3</v>
      </c>
      <c r="B158">
        <v>-4.6419940417337102E-2</v>
      </c>
      <c r="C158">
        <v>-8.1294797749364989E-3</v>
      </c>
      <c r="D158">
        <v>4.7426824808023085E-2</v>
      </c>
    </row>
    <row r="159" spans="1:4" x14ac:dyDescent="0.3">
      <c r="A159">
        <v>1.6094488456701583E-2</v>
      </c>
      <c r="B159">
        <v>-8.3001804820810321E-2</v>
      </c>
      <c r="C159">
        <v>9.6929210841949498E-3</v>
      </c>
      <c r="D159">
        <v>8.5101615033671502E-2</v>
      </c>
    </row>
    <row r="160" spans="1:4" x14ac:dyDescent="0.3">
      <c r="A160">
        <v>-1.2651765778173285E-2</v>
      </c>
      <c r="B160">
        <v>-0.36207538797069105</v>
      </c>
      <c r="C160">
        <v>-3.245677774430078E-2</v>
      </c>
      <c r="D160">
        <v>0.36374729713494114</v>
      </c>
    </row>
    <row r="161" spans="1:4" x14ac:dyDescent="0.3">
      <c r="A161">
        <v>-2.9370615323841776E-2</v>
      </c>
      <c r="B161">
        <v>-0.26017842300965555</v>
      </c>
      <c r="C161">
        <v>2.8009317750274931E-3</v>
      </c>
      <c r="D161">
        <v>0.26184592810105084</v>
      </c>
    </row>
    <row r="162" spans="1:4" x14ac:dyDescent="0.3">
      <c r="A162">
        <v>2.8348101110694301E-2</v>
      </c>
      <c r="B162">
        <v>-6.055469101529809E-2</v>
      </c>
      <c r="C162">
        <v>1.5881638210487381E-2</v>
      </c>
      <c r="D162">
        <v>6.8721989732466154E-2</v>
      </c>
    </row>
    <row r="163" spans="1:4" x14ac:dyDescent="0.3">
      <c r="A163">
        <v>-0.25044263860399951</v>
      </c>
      <c r="B163">
        <v>-0.40720766495587668</v>
      </c>
      <c r="C163">
        <v>5.1966487163099373E-2</v>
      </c>
      <c r="D163">
        <v>0.48087432185325052</v>
      </c>
    </row>
    <row r="164" spans="1:4" x14ac:dyDescent="0.3">
      <c r="A164">
        <v>1.867593495546771E-2</v>
      </c>
      <c r="B164">
        <v>-0.13060582515240071</v>
      </c>
      <c r="C164">
        <v>1.6742373117111242E-2</v>
      </c>
      <c r="D164">
        <v>0.13299240266944912</v>
      </c>
    </row>
    <row r="165" spans="1:4" x14ac:dyDescent="0.3">
      <c r="A165">
        <v>6.9749229842841487E-3</v>
      </c>
      <c r="B165">
        <v>1.2237267200255975E-2</v>
      </c>
      <c r="C165">
        <v>1.7399354526901334E-3</v>
      </c>
      <c r="D165">
        <v>1.4192520373305229E-2</v>
      </c>
    </row>
    <row r="166" spans="1:4" x14ac:dyDescent="0.3">
      <c r="A166">
        <v>-3.1990324321213848E-3</v>
      </c>
      <c r="B166">
        <v>-0.25987863885684703</v>
      </c>
      <c r="C166">
        <v>-5.1891438025677417E-3</v>
      </c>
      <c r="D166">
        <v>0.2599501259010909</v>
      </c>
    </row>
    <row r="167" spans="1:4" x14ac:dyDescent="0.3">
      <c r="A167">
        <v>2.2691036797084507E-5</v>
      </c>
      <c r="B167">
        <v>-1.0069974418655647E-2</v>
      </c>
      <c r="C167">
        <v>1.495654321274742E-2</v>
      </c>
      <c r="D167">
        <v>1.8030615201659397E-2</v>
      </c>
    </row>
    <row r="168" spans="1:4" x14ac:dyDescent="0.3">
      <c r="A168">
        <v>-0.19000328315087245</v>
      </c>
      <c r="B168">
        <v>-0.36386162469472083</v>
      </c>
      <c r="C168">
        <v>1.8327491573927546E-2</v>
      </c>
      <c r="D168">
        <v>0.41089223219840126</v>
      </c>
    </row>
    <row r="169" spans="1:4" x14ac:dyDescent="0.3">
      <c r="A169">
        <v>-8.0722282800707035E-3</v>
      </c>
      <c r="B169">
        <v>-0.29090925742717388</v>
      </c>
      <c r="C169">
        <v>-2.9333821264003745E-3</v>
      </c>
      <c r="D169">
        <v>0.29103601436408993</v>
      </c>
    </row>
    <row r="170" spans="1:4" x14ac:dyDescent="0.3">
      <c r="A170">
        <v>-2.3770992353092879E-2</v>
      </c>
      <c r="B170">
        <v>-0.32152361919824202</v>
      </c>
      <c r="C170">
        <v>-3.8656538835084575E-2</v>
      </c>
      <c r="D170">
        <v>0.32471037213876514</v>
      </c>
    </row>
    <row r="171" spans="1:4" x14ac:dyDescent="0.3">
      <c r="A171">
        <v>-7.6168367143168325E-2</v>
      </c>
      <c r="B171">
        <v>-0.30161372844676038</v>
      </c>
      <c r="C171">
        <v>3.0406872610910796E-4</v>
      </c>
      <c r="D171">
        <v>0.31108287287892078</v>
      </c>
    </row>
    <row r="172" spans="1:4" x14ac:dyDescent="0.3">
      <c r="A172">
        <v>-6.3900281021403771E-2</v>
      </c>
      <c r="B172">
        <v>-8.1352589903474382E-2</v>
      </c>
      <c r="C172">
        <v>7.874695881145044E-2</v>
      </c>
      <c r="D172">
        <v>0.13000989701045659</v>
      </c>
    </row>
    <row r="173" spans="1:4" x14ac:dyDescent="0.3">
      <c r="A173">
        <v>-6.0385010672803219E-3</v>
      </c>
      <c r="B173">
        <v>-9.2089240516855853E-2</v>
      </c>
      <c r="C173">
        <v>2.8630742477702142E-2</v>
      </c>
      <c r="D173">
        <v>9.6626141022682729E-2</v>
      </c>
    </row>
    <row r="174" spans="1:4" x14ac:dyDescent="0.3">
      <c r="A174">
        <v>-0.26043957414981378</v>
      </c>
      <c r="B174">
        <v>-0.43814827525773126</v>
      </c>
      <c r="C174">
        <v>5.9962117887380373E-2</v>
      </c>
      <c r="D174">
        <v>0.51322328325612931</v>
      </c>
    </row>
    <row r="175" spans="1:4" x14ac:dyDescent="0.3">
      <c r="A175">
        <v>-3.4164467144478294E-2</v>
      </c>
      <c r="B175">
        <v>-6.4442907530604998E-2</v>
      </c>
      <c r="C175">
        <v>2.1662991239281837E-3</v>
      </c>
      <c r="D175">
        <v>7.2971172377580551E-2</v>
      </c>
    </row>
    <row r="176" spans="1:4" x14ac:dyDescent="0.3">
      <c r="A176">
        <v>8.3571285766197434E-3</v>
      </c>
      <c r="B176">
        <v>-2.0372475156198E-2</v>
      </c>
      <c r="C176">
        <v>1.086637397065715E-3</v>
      </c>
      <c r="D176">
        <v>2.2046771257233127E-2</v>
      </c>
    </row>
    <row r="177" spans="1:4" x14ac:dyDescent="0.3">
      <c r="A177">
        <v>2.5001421564638804E-3</v>
      </c>
      <c r="B177">
        <v>-0.14840333484410451</v>
      </c>
      <c r="C177">
        <v>-1.1640285613566448E-2</v>
      </c>
      <c r="D177">
        <v>0.14888014223804105</v>
      </c>
    </row>
    <row r="178" spans="1:4" x14ac:dyDescent="0.3">
      <c r="A178">
        <v>-4.8769969120940004E-2</v>
      </c>
      <c r="B178">
        <v>-0.42212317162449153</v>
      </c>
      <c r="C178">
        <v>-1.653820679700857E-2</v>
      </c>
      <c r="D178">
        <v>0.42525285912553012</v>
      </c>
    </row>
    <row r="179" spans="1:4" x14ac:dyDescent="0.3">
      <c r="A179">
        <v>-2.48864236314148E-2</v>
      </c>
      <c r="B179">
        <v>-9.4309426828999676E-2</v>
      </c>
      <c r="C179">
        <v>5.5915579309839814E-3</v>
      </c>
      <c r="D179">
        <v>9.7697838205726098E-2</v>
      </c>
    </row>
    <row r="180" spans="1:4" x14ac:dyDescent="0.3">
      <c r="A180">
        <v>1.102588404118876E-2</v>
      </c>
      <c r="B180">
        <v>4.7513498601581716E-2</v>
      </c>
      <c r="C180">
        <v>2.2498911445893555E-2</v>
      </c>
      <c r="D180">
        <v>5.3715022893995018E-2</v>
      </c>
    </row>
    <row r="181" spans="1:4" x14ac:dyDescent="0.3">
      <c r="A181">
        <v>-0.20650426102201891</v>
      </c>
      <c r="B181">
        <v>-0.44727658604870157</v>
      </c>
      <c r="C181">
        <v>6.3473837187075333E-2</v>
      </c>
      <c r="D181">
        <v>0.49671851410520529</v>
      </c>
    </row>
    <row r="182" spans="1:4" x14ac:dyDescent="0.3">
      <c r="A182">
        <v>5.8076053944660089E-3</v>
      </c>
      <c r="B182">
        <v>-0.18660077681988696</v>
      </c>
      <c r="C182">
        <v>3.1010866692326999E-4</v>
      </c>
      <c r="D182">
        <v>0.18669138801130702</v>
      </c>
    </row>
    <row r="183" spans="1:4" x14ac:dyDescent="0.3">
      <c r="A183">
        <v>-6.4340499460513456E-4</v>
      </c>
      <c r="B183">
        <v>6.1656318678977584E-3</v>
      </c>
      <c r="C183">
        <v>3.9053782579117069E-3</v>
      </c>
      <c r="D183">
        <v>7.326729533351747E-3</v>
      </c>
    </row>
    <row r="184" spans="1:4" x14ac:dyDescent="0.3">
      <c r="A184">
        <v>-9.2167318126712416E-3</v>
      </c>
      <c r="B184">
        <v>-0.25498827721713724</v>
      </c>
      <c r="C184">
        <v>9.9078548576017056E-3</v>
      </c>
      <c r="D184">
        <v>0.2553470878066747</v>
      </c>
    </row>
    <row r="185" spans="1:4" x14ac:dyDescent="0.3">
      <c r="A185">
        <v>1.012217282352168E-2</v>
      </c>
      <c r="B185">
        <v>1.8237259577631448E-2</v>
      </c>
      <c r="C185">
        <v>1.4338110082121602E-2</v>
      </c>
      <c r="D185">
        <v>2.5310816270878899E-2</v>
      </c>
    </row>
    <row r="186" spans="1:4" x14ac:dyDescent="0.3">
      <c r="A186">
        <v>-0.15583058589004395</v>
      </c>
      <c r="B186">
        <v>-0.4201461691801569</v>
      </c>
      <c r="C186">
        <v>1.6269428386067375E-2</v>
      </c>
      <c r="D186">
        <v>0.44840904236601292</v>
      </c>
    </row>
    <row r="187" spans="1:4" x14ac:dyDescent="0.3">
      <c r="A187">
        <v>-2.1785680291031895E-2</v>
      </c>
      <c r="B187">
        <v>-0.33172674227647292</v>
      </c>
      <c r="C187">
        <v>1.0896359150706303E-2</v>
      </c>
      <c r="D187">
        <v>0.33261987019696482</v>
      </c>
    </row>
    <row r="188" spans="1:4" x14ac:dyDescent="0.3">
      <c r="A188">
        <v>-3.8001475908913562E-2</v>
      </c>
      <c r="B188">
        <v>-0.35854212500634119</v>
      </c>
      <c r="C188">
        <v>-2.3941381296594955E-2</v>
      </c>
      <c r="D188">
        <v>0.36134437495788896</v>
      </c>
    </row>
    <row r="189" spans="1:4" x14ac:dyDescent="0.3">
      <c r="A189">
        <v>-7.8806100541669366E-2</v>
      </c>
      <c r="B189">
        <v>-0.14469880484238118</v>
      </c>
      <c r="C189">
        <v>5.4047613100465242E-3</v>
      </c>
      <c r="D189">
        <v>0.16485556420762931</v>
      </c>
    </row>
    <row r="190" spans="1:4" x14ac:dyDescent="0.3">
      <c r="A190">
        <v>-6.1154684806240311E-2</v>
      </c>
      <c r="B190">
        <v>-0.12850526427854447</v>
      </c>
      <c r="C190">
        <v>6.6619508113205939E-2</v>
      </c>
      <c r="D190">
        <v>0.1571357924926548</v>
      </c>
    </row>
    <row r="191" spans="1:4" x14ac:dyDescent="0.3">
      <c r="A191">
        <v>1.0307574298735744E-3</v>
      </c>
      <c r="B191">
        <v>-0.10640270313938061</v>
      </c>
      <c r="C191">
        <v>2.7042263469496675E-2</v>
      </c>
      <c r="D191">
        <v>0.10979017128049336</v>
      </c>
    </row>
    <row r="192" spans="1:4" x14ac:dyDescent="0.3">
      <c r="A192">
        <v>-0.24815536791993509</v>
      </c>
      <c r="B192">
        <v>-0.50573207530646869</v>
      </c>
      <c r="C192">
        <v>0.11242278926852123</v>
      </c>
      <c r="D192">
        <v>0.57444312352763038</v>
      </c>
    </row>
    <row r="193" spans="1:4" x14ac:dyDescent="0.3">
      <c r="A193">
        <v>-2.5483387251028944E-2</v>
      </c>
      <c r="B193">
        <v>-8.7333988396835593E-2</v>
      </c>
      <c r="C193">
        <v>3.1639843140851553E-2</v>
      </c>
      <c r="D193">
        <v>9.6320860819773674E-2</v>
      </c>
    </row>
    <row r="194" spans="1:4" x14ac:dyDescent="0.3">
      <c r="A194">
        <v>5.0544289715048762E-3</v>
      </c>
      <c r="B194">
        <v>-7.8452756765928999E-2</v>
      </c>
      <c r="C194">
        <v>-8.1181503412040001E-3</v>
      </c>
      <c r="D194">
        <v>7.9033452799206469E-2</v>
      </c>
    </row>
    <row r="195" spans="1:4" x14ac:dyDescent="0.3">
      <c r="A195">
        <v>-8.0868299748724781E-3</v>
      </c>
      <c r="B195">
        <v>4.6507246711922204E-2</v>
      </c>
      <c r="C195">
        <v>2.3849519041710204E-2</v>
      </c>
      <c r="D195">
        <v>5.2887809316391546E-2</v>
      </c>
    </row>
    <row r="196" spans="1:4" x14ac:dyDescent="0.3">
      <c r="A196">
        <v>-1.8601462703202287E-2</v>
      </c>
      <c r="B196">
        <v>1.5383314062542626E-2</v>
      </c>
      <c r="C196">
        <v>1.7155212293857858E-3</v>
      </c>
      <c r="D196">
        <v>2.4199251627559079E-2</v>
      </c>
    </row>
    <row r="197" spans="1:4" x14ac:dyDescent="0.3">
      <c r="A197">
        <v>-6.9706267920821574E-3</v>
      </c>
      <c r="B197">
        <v>2.226921736973958E-2</v>
      </c>
      <c r="C197">
        <v>2.2957447966640565E-3</v>
      </c>
      <c r="D197">
        <v>2.3447347916270078E-2</v>
      </c>
    </row>
    <row r="198" spans="1:4" x14ac:dyDescent="0.3">
      <c r="A198">
        <v>-4.6314631442783138E-3</v>
      </c>
      <c r="B198">
        <v>7.1132105831444137E-2</v>
      </c>
      <c r="C198">
        <v>-1.1032285224293281E-2</v>
      </c>
      <c r="D198">
        <v>7.2131395717417932E-2</v>
      </c>
    </row>
    <row r="199" spans="1:4" x14ac:dyDescent="0.3">
      <c r="A199">
        <v>1.5974667030718592E-2</v>
      </c>
      <c r="B199">
        <v>2.6915474188813293E-2</v>
      </c>
      <c r="C199">
        <v>6.1267910660944835E-4</v>
      </c>
      <c r="D199">
        <v>3.1305081268680299E-2</v>
      </c>
    </row>
    <row r="200" spans="1:4" x14ac:dyDescent="0.3">
      <c r="A200">
        <v>8.2962188079022781E-2</v>
      </c>
      <c r="B200">
        <v>7.0734807492726759E-2</v>
      </c>
      <c r="C200">
        <v>-5.9529470028110154E-2</v>
      </c>
      <c r="D200">
        <v>0.12421713023460142</v>
      </c>
    </row>
    <row r="201" spans="1:4" x14ac:dyDescent="0.3">
      <c r="A201">
        <v>2.3968171475530653E-2</v>
      </c>
      <c r="B201">
        <v>1.5984694615269746E-2</v>
      </c>
      <c r="C201">
        <v>-2.1868101340686508E-2</v>
      </c>
      <c r="D201">
        <v>3.6169013838787616E-2</v>
      </c>
    </row>
    <row r="202" spans="1:4" x14ac:dyDescent="0.3">
      <c r="A202">
        <v>1.8319060327712577E-2</v>
      </c>
      <c r="B202">
        <v>2.3069719684841949E-2</v>
      </c>
      <c r="C202">
        <v>-2.7010694971210114E-2</v>
      </c>
      <c r="D202">
        <v>3.9967206312867459E-2</v>
      </c>
    </row>
    <row r="203" spans="1:4" x14ac:dyDescent="0.3">
      <c r="A203">
        <v>4.4361690037362678E-2</v>
      </c>
      <c r="B203">
        <v>4.8546288375760582E-2</v>
      </c>
      <c r="C203">
        <v>4.0794870295712826E-3</v>
      </c>
      <c r="D203">
        <v>6.5888875179790335E-2</v>
      </c>
    </row>
    <row r="204" spans="1:4" x14ac:dyDescent="0.3">
      <c r="A204">
        <v>-2.2390777172276444E-2</v>
      </c>
      <c r="B204">
        <v>6.594647557683686E-2</v>
      </c>
      <c r="C204">
        <v>4.4293404207451204E-2</v>
      </c>
      <c r="D204">
        <v>8.2535993358470783E-2</v>
      </c>
    </row>
    <row r="205" spans="1:4" x14ac:dyDescent="0.3">
      <c r="A205">
        <v>4.1964596767911644E-2</v>
      </c>
      <c r="B205">
        <v>0.12806776036018164</v>
      </c>
      <c r="C205">
        <v>1.8091043462163725E-2</v>
      </c>
      <c r="D205">
        <v>0.13597670564885822</v>
      </c>
    </row>
    <row r="206" spans="1:4" x14ac:dyDescent="0.3">
      <c r="A206">
        <v>-3.2547752143045727E-2</v>
      </c>
      <c r="B206">
        <v>-1.5479276814218679E-2</v>
      </c>
      <c r="C206">
        <v>2.4732461355540636E-2</v>
      </c>
      <c r="D206">
        <v>4.3711083548222146E-2</v>
      </c>
    </row>
    <row r="207" spans="1:4" x14ac:dyDescent="0.3">
      <c r="A207">
        <v>-8.6541067691086937E-2</v>
      </c>
      <c r="B207">
        <v>-1.5446220207500971E-2</v>
      </c>
      <c r="C207">
        <v>4.4257961450909988E-2</v>
      </c>
      <c r="D207">
        <v>9.8421081418576861E-2</v>
      </c>
    </row>
    <row r="208" spans="1:4" x14ac:dyDescent="0.3">
      <c r="A208">
        <v>0.13236190136899495</v>
      </c>
      <c r="B208">
        <v>0.10496048983620909</v>
      </c>
      <c r="C208">
        <v>-0.11997462813906168</v>
      </c>
      <c r="D208">
        <v>0.20719625662105634</v>
      </c>
    </row>
    <row r="209" spans="1:4" x14ac:dyDescent="0.3">
      <c r="A209">
        <v>3.945770538399529E-2</v>
      </c>
      <c r="B209">
        <v>0.12099239698420661</v>
      </c>
      <c r="C209">
        <v>-2.1436978576616639E-2</v>
      </c>
      <c r="D209">
        <v>0.12905663366386222</v>
      </c>
    </row>
    <row r="210" spans="1:4" x14ac:dyDescent="0.3">
      <c r="A210">
        <v>1.3216811262566353E-2</v>
      </c>
      <c r="B210">
        <v>3.5345798489714753E-2</v>
      </c>
      <c r="C210">
        <v>1.5938620554010186E-2</v>
      </c>
      <c r="D210">
        <v>4.0963998779300563E-2</v>
      </c>
    </row>
    <row r="211" spans="1:4" x14ac:dyDescent="0.3">
      <c r="A211">
        <v>5.9987977190985475E-2</v>
      </c>
      <c r="B211">
        <v>2.925356612070118E-2</v>
      </c>
      <c r="C211">
        <v>-1.9675911041758809E-2</v>
      </c>
      <c r="D211">
        <v>6.9580672701315807E-2</v>
      </c>
    </row>
    <row r="212" spans="1:4" x14ac:dyDescent="0.3">
      <c r="A212">
        <v>3.4675432823291885E-2</v>
      </c>
      <c r="B212">
        <v>7.1866162502374209E-3</v>
      </c>
      <c r="C212">
        <v>-1.9863722372974735E-2</v>
      </c>
      <c r="D212">
        <v>4.0602962467305534E-2</v>
      </c>
    </row>
    <row r="213" spans="1:4" x14ac:dyDescent="0.3">
      <c r="A213">
        <v>1.7244608733790301E-2</v>
      </c>
      <c r="B213">
        <v>2.0313390570887435E-3</v>
      </c>
      <c r="C213">
        <v>-6.1731279311288745E-2</v>
      </c>
      <c r="D213">
        <v>6.4126856418779146E-2</v>
      </c>
    </row>
    <row r="214" spans="1:4" x14ac:dyDescent="0.3">
      <c r="A214">
        <v>-6.362952287361931E-3</v>
      </c>
      <c r="B214">
        <v>3.8234039222515781E-2</v>
      </c>
      <c r="C214">
        <v>-1.2794074312950487E-2</v>
      </c>
      <c r="D214">
        <v>4.0816874630542441E-2</v>
      </c>
    </row>
    <row r="215" spans="1:4" x14ac:dyDescent="0.3">
      <c r="A215">
        <v>-2.2000736908012186E-2</v>
      </c>
      <c r="B215">
        <v>1.3519250406532138E-3</v>
      </c>
      <c r="C215">
        <v>-1.045665337601509E-2</v>
      </c>
      <c r="D215">
        <v>2.439675645730888E-2</v>
      </c>
    </row>
    <row r="216" spans="1:4" x14ac:dyDescent="0.3">
      <c r="A216">
        <v>-2.3812521479442239E-2</v>
      </c>
      <c r="B216">
        <v>3.6409915249567104E-2</v>
      </c>
      <c r="C216">
        <v>-1.4635019955338502E-2</v>
      </c>
      <c r="D216">
        <v>4.590100126122211E-2</v>
      </c>
    </row>
    <row r="217" spans="1:4" x14ac:dyDescent="0.3">
      <c r="A217">
        <v>-1.3220682134800654E-2</v>
      </c>
      <c r="B217">
        <v>-3.3052132110749977E-2</v>
      </c>
      <c r="C217">
        <v>-2.6576197485098874E-2</v>
      </c>
      <c r="D217">
        <v>4.4424364327955018E-2</v>
      </c>
    </row>
    <row r="218" spans="1:4" x14ac:dyDescent="0.3">
      <c r="A218">
        <v>-9.9196555475032255E-2</v>
      </c>
      <c r="B218">
        <v>-0.23067768347084439</v>
      </c>
      <c r="C218">
        <v>0.12292180456302049</v>
      </c>
      <c r="D218">
        <v>0.27957453443869962</v>
      </c>
    </row>
    <row r="219" spans="1:4" x14ac:dyDescent="0.3">
      <c r="A219">
        <v>4.9506068272648918E-3</v>
      </c>
      <c r="B219">
        <v>2.9308390075087232E-2</v>
      </c>
      <c r="C219">
        <v>1.0467966622940139E-3</v>
      </c>
      <c r="D219">
        <v>2.9741990854746481E-2</v>
      </c>
    </row>
    <row r="220" spans="1:4" x14ac:dyDescent="0.3">
      <c r="A220">
        <v>-1.8805946108898297E-2</v>
      </c>
      <c r="B220">
        <v>1.2814548281685934E-2</v>
      </c>
      <c r="C220">
        <v>-3.6240202005899391E-2</v>
      </c>
      <c r="D220">
        <v>4.279285569044021E-2</v>
      </c>
    </row>
    <row r="221" spans="1:4" x14ac:dyDescent="0.3">
      <c r="A221">
        <v>2.0950883160708145E-2</v>
      </c>
      <c r="B221">
        <v>-3.528753570748222E-2</v>
      </c>
      <c r="C221">
        <v>-1.5089469347913109E-3</v>
      </c>
      <c r="D221">
        <v>4.1066124754747593E-2</v>
      </c>
    </row>
    <row r="222" spans="1:4" x14ac:dyDescent="0.3">
      <c r="A222">
        <v>1.3790477818979241E-2</v>
      </c>
      <c r="B222">
        <v>-7.4165262426220124E-3</v>
      </c>
      <c r="C222">
        <v>3.3155126621238651E-2</v>
      </c>
      <c r="D222">
        <v>3.6666668259519128E-2</v>
      </c>
    </row>
    <row r="223" spans="1:4" x14ac:dyDescent="0.3">
      <c r="A223">
        <v>-4.2223827927045932E-2</v>
      </c>
      <c r="B223">
        <v>-2.6552254688454013E-2</v>
      </c>
      <c r="C223">
        <v>5.624947224009702E-2</v>
      </c>
      <c r="D223">
        <v>7.5178966480943035E-2</v>
      </c>
    </row>
    <row r="224" spans="1:4" x14ac:dyDescent="0.3">
      <c r="A224">
        <v>-2.295602574190525E-2</v>
      </c>
      <c r="B224">
        <v>-5.7921464093681152E-2</v>
      </c>
      <c r="C224">
        <v>2.356628789897286E-2</v>
      </c>
      <c r="D224">
        <v>6.6612649293928294E-2</v>
      </c>
    </row>
    <row r="225" spans="1:4" x14ac:dyDescent="0.3">
      <c r="A225">
        <v>-6.8505285157925755E-2</v>
      </c>
      <c r="B225">
        <v>-6.7534405541312736E-2</v>
      </c>
      <c r="C225">
        <v>2.3535280603198316E-2</v>
      </c>
      <c r="D225">
        <v>9.9034233775288527E-2</v>
      </c>
    </row>
    <row r="226" spans="1:4" x14ac:dyDescent="0.3">
      <c r="A226">
        <v>0.11257448574156115</v>
      </c>
      <c r="B226">
        <v>1.7451429727739054E-2</v>
      </c>
      <c r="C226">
        <v>-0.11197767627390931</v>
      </c>
      <c r="D226">
        <v>0.15973905979197325</v>
      </c>
    </row>
    <row r="227" spans="1:4" x14ac:dyDescent="0.3">
      <c r="A227">
        <v>8.6964301833631907E-3</v>
      </c>
      <c r="B227">
        <v>0.25924637652030924</v>
      </c>
      <c r="C227">
        <v>5.4895521371804534E-2</v>
      </c>
      <c r="D227">
        <v>0.26513737930274245</v>
      </c>
    </row>
    <row r="228" spans="1:4" x14ac:dyDescent="0.3">
      <c r="A228">
        <v>-2.9569698094746855E-3</v>
      </c>
      <c r="B228">
        <v>-1.0509746669669084E-3</v>
      </c>
      <c r="C228">
        <v>1.1398161502796711E-2</v>
      </c>
      <c r="D228">
        <v>1.1822279976746784E-2</v>
      </c>
    </row>
    <row r="229" spans="1:4" x14ac:dyDescent="0.3">
      <c r="A229">
        <v>-1.896252549795463E-2</v>
      </c>
      <c r="B229">
        <v>-0.1222296394616933</v>
      </c>
      <c r="C229">
        <v>1.1634976148457099E-2</v>
      </c>
      <c r="D229">
        <v>0.12423781552398319</v>
      </c>
    </row>
    <row r="230" spans="1:4" x14ac:dyDescent="0.3">
      <c r="A230">
        <v>-8.6278228635592313E-3</v>
      </c>
      <c r="B230">
        <v>6.2275713267240462E-2</v>
      </c>
      <c r="C230">
        <v>2.4171758082047745E-3</v>
      </c>
      <c r="D230">
        <v>6.2916981246689485E-2</v>
      </c>
    </row>
    <row r="231" spans="1:4" x14ac:dyDescent="0.3">
      <c r="A231">
        <v>-2.6424464920012269E-2</v>
      </c>
      <c r="B231">
        <v>3.9310311272160448E-3</v>
      </c>
      <c r="C231">
        <v>-4.0615352939369131E-2</v>
      </c>
      <c r="D231">
        <v>4.8613910009601378E-2</v>
      </c>
    </row>
    <row r="232" spans="1:4" x14ac:dyDescent="0.3">
      <c r="A232">
        <v>-8.2623396846299796E-2</v>
      </c>
      <c r="B232">
        <v>3.2731650293773507E-2</v>
      </c>
      <c r="C232">
        <v>-4.1116624640430838E-3</v>
      </c>
      <c r="D232">
        <v>8.8965681055074533E-2</v>
      </c>
    </row>
    <row r="233" spans="1:4" x14ac:dyDescent="0.3">
      <c r="A233">
        <v>-4.7621875543995884E-2</v>
      </c>
      <c r="B233">
        <v>2.4469114732998093E-2</v>
      </c>
      <c r="C233">
        <v>-2.5292570492496225E-2</v>
      </c>
      <c r="D233">
        <v>5.9213974096173856E-2</v>
      </c>
    </row>
    <row r="234" spans="1:4" x14ac:dyDescent="0.3">
      <c r="A234">
        <v>-6.5112482732104127E-2</v>
      </c>
      <c r="B234">
        <v>4.4434670047768243E-2</v>
      </c>
      <c r="C234">
        <v>-2.5898617656191503E-3</v>
      </c>
      <c r="D234">
        <v>7.8871938569795574E-2</v>
      </c>
    </row>
    <row r="235" spans="1:4" x14ac:dyDescent="0.3">
      <c r="A235">
        <v>-3.8075519619496845E-2</v>
      </c>
      <c r="B235">
        <v>0.11612675135630517</v>
      </c>
      <c r="C235">
        <v>1.0776400156162685E-2</v>
      </c>
      <c r="D235">
        <v>0.12268373313194197</v>
      </c>
    </row>
    <row r="236" spans="1:4" x14ac:dyDescent="0.3">
      <c r="A236">
        <v>-7.3974976640897694E-2</v>
      </c>
      <c r="B236">
        <v>9.4316830261394202E-2</v>
      </c>
      <c r="C236">
        <v>2.8698192000916833E-2</v>
      </c>
      <c r="D236">
        <v>0.12325399735383631</v>
      </c>
    </row>
    <row r="237" spans="1:4" x14ac:dyDescent="0.3">
      <c r="A237">
        <v>2.3518827561929356E-2</v>
      </c>
      <c r="B237">
        <v>-9.5051625100609272E-2</v>
      </c>
      <c r="C237">
        <v>2.0243633681957363E-2</v>
      </c>
      <c r="D237">
        <v>9.9988756311916491E-2</v>
      </c>
    </row>
    <row r="238" spans="1:4" x14ac:dyDescent="0.3">
      <c r="A238">
        <v>3.4339213465500507E-2</v>
      </c>
      <c r="B238">
        <v>6.6173079431351312E-2</v>
      </c>
      <c r="C238">
        <v>4.4213049611528277E-2</v>
      </c>
      <c r="D238">
        <v>8.6676708398557692E-2</v>
      </c>
    </row>
    <row r="239" spans="1:4" x14ac:dyDescent="0.3">
      <c r="A239">
        <v>-5.7084497209586971E-2</v>
      </c>
      <c r="B239">
        <v>0.12292048135749667</v>
      </c>
      <c r="C239">
        <v>3.2161763235791341E-2</v>
      </c>
      <c r="D239">
        <v>0.13929272620372224</v>
      </c>
    </row>
    <row r="240" spans="1:4" x14ac:dyDescent="0.3">
      <c r="A240">
        <v>4.9630853255735019E-2</v>
      </c>
      <c r="B240">
        <v>-5.0767072079011655E-2</v>
      </c>
      <c r="C240">
        <v>-1.2651091945940607E-2</v>
      </c>
      <c r="D240">
        <v>7.211495912633184E-2</v>
      </c>
    </row>
    <row r="241" spans="1:4" x14ac:dyDescent="0.3">
      <c r="A241">
        <v>-1.1513739252748678E-2</v>
      </c>
      <c r="B241">
        <v>3.3418080661348881E-2</v>
      </c>
      <c r="C241">
        <v>5.4603937155661697E-4</v>
      </c>
      <c r="D241">
        <v>3.5350140956776903E-2</v>
      </c>
    </row>
    <row r="242" spans="1:4" x14ac:dyDescent="0.3">
      <c r="A242">
        <v>-1.358804606979902E-2</v>
      </c>
      <c r="B242">
        <v>-5.6900986118762376E-2</v>
      </c>
      <c r="C242">
        <v>6.0549175223968632E-2</v>
      </c>
      <c r="D242">
        <v>8.4193585489545614E-2</v>
      </c>
    </row>
    <row r="243" spans="1:4" x14ac:dyDescent="0.3">
      <c r="A243">
        <v>3.8047950900136129E-2</v>
      </c>
      <c r="B243">
        <v>-4.704168249818963E-2</v>
      </c>
      <c r="C243">
        <v>5.5210323271239758E-3</v>
      </c>
      <c r="D243">
        <v>6.0753997875998236E-2</v>
      </c>
    </row>
    <row r="244" spans="1:4" x14ac:dyDescent="0.3">
      <c r="A244">
        <v>-2.0121254284049428E-2</v>
      </c>
      <c r="B244">
        <v>-6.1603023935351331E-2</v>
      </c>
      <c r="C244">
        <v>-3.9696134152222839E-3</v>
      </c>
      <c r="D244">
        <v>6.4927307526257083E-2</v>
      </c>
    </row>
    <row r="245" spans="1:4" x14ac:dyDescent="0.3">
      <c r="A245">
        <v>0.11831022585749906</v>
      </c>
      <c r="B245">
        <v>-8.5937598990401654E-2</v>
      </c>
      <c r="C245">
        <v>-0.10669805091197304</v>
      </c>
      <c r="D245">
        <v>0.1810167244513653</v>
      </c>
    </row>
    <row r="246" spans="1:4" x14ac:dyDescent="0.3">
      <c r="A246">
        <v>1.7226735413657934E-2</v>
      </c>
      <c r="B246">
        <v>0.13079053380488403</v>
      </c>
      <c r="C246">
        <v>0.20135488006360447</v>
      </c>
      <c r="D246">
        <v>0.24072123269750684</v>
      </c>
    </row>
    <row r="247" spans="1:4" x14ac:dyDescent="0.3">
      <c r="A247">
        <v>6.4532611187360089E-3</v>
      </c>
      <c r="B247">
        <v>3.9258853438752794E-2</v>
      </c>
      <c r="C247">
        <v>2.9138331978202814E-2</v>
      </c>
      <c r="D247">
        <v>4.9314749749583227E-2</v>
      </c>
    </row>
    <row r="248" spans="1:4" x14ac:dyDescent="0.3">
      <c r="A248">
        <v>0.13137835988300139</v>
      </c>
      <c r="B248">
        <v>-2.5811778304841937E-2</v>
      </c>
      <c r="C248">
        <v>-7.8958512476560827E-2</v>
      </c>
      <c r="D248">
        <v>0.15543798775497886</v>
      </c>
    </row>
    <row r="249" spans="1:4" x14ac:dyDescent="0.3">
      <c r="A249">
        <v>5.5254521004599155E-2</v>
      </c>
      <c r="B249">
        <v>-0.11246187932644602</v>
      </c>
      <c r="C249">
        <v>-1.0300453741592719E-2</v>
      </c>
      <c r="D249">
        <v>0.12572523907460462</v>
      </c>
    </row>
    <row r="250" spans="1:4" x14ac:dyDescent="0.3">
      <c r="A250">
        <v>-4.65952767343083E-2</v>
      </c>
      <c r="B250">
        <v>0.11625651128846304</v>
      </c>
      <c r="C250">
        <v>5.1801111266684075E-2</v>
      </c>
      <c r="D250">
        <v>0.13553616255219378</v>
      </c>
    </row>
    <row r="251" spans="1:4" x14ac:dyDescent="0.3">
      <c r="A251">
        <v>-7.2658769402144496E-2</v>
      </c>
      <c r="B251">
        <v>9.0860263241254319E-2</v>
      </c>
      <c r="C251">
        <v>9.7487878023018171E-3</v>
      </c>
      <c r="D251">
        <v>0.11674726151357191</v>
      </c>
    </row>
    <row r="252" spans="1:4" x14ac:dyDescent="0.3">
      <c r="A252">
        <v>-5.0371156923915805E-2</v>
      </c>
      <c r="B252">
        <v>2.9479664929126681E-2</v>
      </c>
      <c r="C252">
        <v>-6.7570118728781381E-3</v>
      </c>
      <c r="D252">
        <v>5.8753393975476423E-2</v>
      </c>
    </row>
    <row r="253" spans="1:4" x14ac:dyDescent="0.3">
      <c r="A253">
        <v>-5.4264980169591581E-2</v>
      </c>
      <c r="B253">
        <v>7.6775037961139936E-2</v>
      </c>
      <c r="C253">
        <v>3.5715564828478485E-3</v>
      </c>
      <c r="D253">
        <v>9.4084273619191097E-2</v>
      </c>
    </row>
    <row r="254" spans="1:4" x14ac:dyDescent="0.3">
      <c r="A254">
        <v>-3.711700308770105E-2</v>
      </c>
      <c r="B254">
        <v>0.14485174610331453</v>
      </c>
      <c r="C254">
        <v>-5.1092352900994342E-4</v>
      </c>
      <c r="D254">
        <v>0.14953247577113141</v>
      </c>
    </row>
    <row r="255" spans="1:4" x14ac:dyDescent="0.3">
      <c r="A255">
        <v>-5.4450442198600513E-2</v>
      </c>
      <c r="B255">
        <v>9.8719493097353533E-2</v>
      </c>
      <c r="C255">
        <v>1.9600837420313155E-2</v>
      </c>
      <c r="D255">
        <v>0.1144315594606624</v>
      </c>
    </row>
    <row r="256" spans="1:4" x14ac:dyDescent="0.3">
      <c r="A256">
        <v>9.7773847550001847E-2</v>
      </c>
      <c r="B256">
        <v>-5.1724178377980934E-3</v>
      </c>
      <c r="C256">
        <v>-0.11337411423301091</v>
      </c>
      <c r="D256">
        <v>0.1498004304037194</v>
      </c>
    </row>
    <row r="257" spans="1:4" x14ac:dyDescent="0.3">
      <c r="A257">
        <v>2.6087158960990564E-2</v>
      </c>
      <c r="B257">
        <v>3.8572788386900925E-2</v>
      </c>
      <c r="C257">
        <v>2.6136052567593993E-2</v>
      </c>
      <c r="D257">
        <v>5.3399373689329593E-2</v>
      </c>
    </row>
    <row r="258" spans="1:4" x14ac:dyDescent="0.3">
      <c r="A258">
        <v>-4.2263556469606556E-2</v>
      </c>
      <c r="B258">
        <v>0.1162535752266769</v>
      </c>
      <c r="C258">
        <v>8.5767526760207602E-3</v>
      </c>
      <c r="D258">
        <v>0.12399460732189072</v>
      </c>
    </row>
    <row r="259" spans="1:4" x14ac:dyDescent="0.3">
      <c r="A259">
        <v>4.7044433199857849E-2</v>
      </c>
      <c r="B259">
        <v>-9.7698694263783636E-3</v>
      </c>
      <c r="C259">
        <v>-1.3873128660293332E-2</v>
      </c>
      <c r="D259">
        <v>5.001092623146889E-2</v>
      </c>
    </row>
    <row r="260" spans="1:4" x14ac:dyDescent="0.3">
      <c r="A260">
        <v>-2.7215797590756097E-2</v>
      </c>
      <c r="B260">
        <v>4.6240781459445657E-2</v>
      </c>
      <c r="C260">
        <v>3.1879145355730998E-2</v>
      </c>
      <c r="D260">
        <v>6.2411452611624445E-2</v>
      </c>
    </row>
    <row r="261" spans="1:4" x14ac:dyDescent="0.3">
      <c r="A261">
        <v>4.018365395404544E-2</v>
      </c>
      <c r="B261">
        <v>1.3201621875396086E-2</v>
      </c>
      <c r="C261">
        <v>-1.5566715939030473E-2</v>
      </c>
      <c r="D261">
        <v>4.5070295210547194E-2</v>
      </c>
    </row>
    <row r="262" spans="1:4" x14ac:dyDescent="0.3">
      <c r="A262">
        <v>1.7315224805088292E-2</v>
      </c>
      <c r="B262">
        <v>-3.2281071486323754E-2</v>
      </c>
      <c r="C262">
        <v>1.6130588108580923E-2</v>
      </c>
      <c r="D262">
        <v>4.0025997290318471E-2</v>
      </c>
    </row>
    <row r="263" spans="1:4" x14ac:dyDescent="0.3">
      <c r="A263">
        <v>-3.8986573575812145E-2</v>
      </c>
      <c r="B263">
        <v>-2.652763213479048E-2</v>
      </c>
      <c r="C263">
        <v>-6.0066485161769378E-4</v>
      </c>
      <c r="D263">
        <v>4.715961178937917E-2</v>
      </c>
    </row>
    <row r="264" spans="1:4" x14ac:dyDescent="0.3">
      <c r="A264">
        <v>0.11726775783358789</v>
      </c>
      <c r="B264">
        <v>8.3097392304800621E-3</v>
      </c>
      <c r="C264">
        <v>-0.12460294738411903</v>
      </c>
      <c r="D264">
        <v>0.17130870757263078</v>
      </c>
    </row>
    <row r="265" spans="1:4" x14ac:dyDescent="0.3">
      <c r="A265">
        <v>-3.6688673621370071E-3</v>
      </c>
      <c r="B265">
        <v>9.1874423944375394E-2</v>
      </c>
      <c r="C265">
        <v>0.1228091042847268</v>
      </c>
      <c r="D265">
        <v>0.15341592635071716</v>
      </c>
    </row>
    <row r="266" spans="1:4" x14ac:dyDescent="0.3">
      <c r="A266">
        <v>-3.1659990772254787E-3</v>
      </c>
      <c r="B266">
        <v>3.8684493928201391E-2</v>
      </c>
      <c r="C266">
        <v>3.3719672865714756E-2</v>
      </c>
      <c r="D266">
        <v>5.1415269704717707E-2</v>
      </c>
    </row>
    <row r="267" spans="1:4" x14ac:dyDescent="0.3">
      <c r="A267">
        <v>0.11067758193507871</v>
      </c>
      <c r="B267">
        <v>-4.8081212856459388E-2</v>
      </c>
      <c r="C267">
        <v>-8.9223331081711876E-2</v>
      </c>
      <c r="D267">
        <v>0.15007375847249574</v>
      </c>
    </row>
    <row r="268" spans="1:4" x14ac:dyDescent="0.3">
      <c r="A268">
        <v>2.1492673794341499E-2</v>
      </c>
      <c r="B268">
        <v>8.9110884305100058E-2</v>
      </c>
      <c r="C268">
        <v>-1.1362053489619939E-2</v>
      </c>
      <c r="D268">
        <v>9.236764037241553E-2</v>
      </c>
    </row>
    <row r="269" spans="1:4" x14ac:dyDescent="0.3">
      <c r="A269">
        <v>-2.8148848596913467E-2</v>
      </c>
      <c r="B269">
        <v>9.6722778644495744E-2</v>
      </c>
      <c r="C269">
        <v>1.2569075640271876E-2</v>
      </c>
      <c r="D269">
        <v>0.10151667473127238</v>
      </c>
    </row>
    <row r="270" spans="1:4" x14ac:dyDescent="0.3">
      <c r="A270">
        <v>-2.1934484137314213E-2</v>
      </c>
      <c r="B270">
        <v>3.5282705741097931E-2</v>
      </c>
      <c r="C270">
        <v>1.0034653261349002E-2</v>
      </c>
      <c r="D270">
        <v>4.2739737772458271E-2</v>
      </c>
    </row>
    <row r="271" spans="1:4" x14ac:dyDescent="0.3">
      <c r="A271">
        <v>-9.0093124625241217E-3</v>
      </c>
      <c r="B271">
        <v>-5.5316652182544557E-2</v>
      </c>
      <c r="C271">
        <v>3.1364755522815813E-3</v>
      </c>
      <c r="D271">
        <v>5.6133209409600517E-2</v>
      </c>
    </row>
    <row r="272" spans="1:4" x14ac:dyDescent="0.3">
      <c r="A272">
        <v>-2.0956322203801392E-2</v>
      </c>
      <c r="B272">
        <v>-1.0535403275715199E-2</v>
      </c>
      <c r="C272">
        <v>6.178200273549983E-3</v>
      </c>
      <c r="D272">
        <v>2.425556268387899E-2</v>
      </c>
    </row>
    <row r="273" spans="1:4" x14ac:dyDescent="0.3">
      <c r="A273">
        <v>-1.3062689260607385E-2</v>
      </c>
      <c r="B273">
        <v>3.4706157063579324E-2</v>
      </c>
      <c r="C273">
        <v>6.5271128322070687E-3</v>
      </c>
      <c r="D273">
        <v>3.7653079432702269E-2</v>
      </c>
    </row>
    <row r="274" spans="1:4" x14ac:dyDescent="0.3">
      <c r="A274">
        <v>-2.1668112062201317E-2</v>
      </c>
      <c r="B274">
        <v>2.7030033411117815E-2</v>
      </c>
      <c r="C274">
        <v>8.7714638482907503E-3</v>
      </c>
      <c r="D274">
        <v>3.5736093303383502E-2</v>
      </c>
    </row>
    <row r="275" spans="1:4" x14ac:dyDescent="0.3">
      <c r="A275">
        <v>-1.5430278632038608E-2</v>
      </c>
      <c r="B275">
        <v>-5.1561470274123167E-2</v>
      </c>
      <c r="C275">
        <v>-4.229252718096177E-2</v>
      </c>
      <c r="D275">
        <v>6.8449518412067908E-2</v>
      </c>
    </row>
    <row r="276" spans="1:4" x14ac:dyDescent="0.3">
      <c r="A276">
        <v>6.1815059658556493E-3</v>
      </c>
      <c r="B276">
        <v>7.5531412378069263E-3</v>
      </c>
      <c r="C276">
        <v>1.9798288895728433E-2</v>
      </c>
      <c r="D276">
        <v>2.2073359548625403E-2</v>
      </c>
    </row>
    <row r="277" spans="1:4" x14ac:dyDescent="0.3">
      <c r="A277">
        <v>-1.6998694947915283E-2</v>
      </c>
      <c r="B277">
        <v>5.7101302422687183E-2</v>
      </c>
      <c r="C277">
        <v>3.9243593977857927E-3</v>
      </c>
      <c r="D277">
        <v>5.9706908854691612E-2</v>
      </c>
    </row>
    <row r="278" spans="1:4" x14ac:dyDescent="0.3">
      <c r="A278">
        <v>1.5748586701079148E-2</v>
      </c>
      <c r="B278">
        <v>-1.6662049195474538E-2</v>
      </c>
      <c r="C278">
        <v>-8.68488741798501E-3</v>
      </c>
      <c r="D278">
        <v>2.4516711360557619E-2</v>
      </c>
    </row>
    <row r="279" spans="1:4" x14ac:dyDescent="0.3">
      <c r="A279">
        <v>1.0880856185337962E-3</v>
      </c>
      <c r="B279">
        <v>3.4575990168107751E-2</v>
      </c>
      <c r="C279">
        <v>4.1758328219430041E-3</v>
      </c>
      <c r="D279">
        <v>3.4844233470908217E-2</v>
      </c>
    </row>
    <row r="280" spans="1:4" x14ac:dyDescent="0.3">
      <c r="A280">
        <v>-1.4743573563919199E-2</v>
      </c>
      <c r="B280">
        <v>-3.4774674551044882E-2</v>
      </c>
      <c r="C280">
        <v>-3.6320480661061083E-2</v>
      </c>
      <c r="D280">
        <v>5.2400651398778406E-2</v>
      </c>
    </row>
    <row r="281" spans="1:4" x14ac:dyDescent="0.3">
      <c r="A281">
        <v>1.6684066979451018E-3</v>
      </c>
      <c r="B281">
        <v>-3.5565186256008019E-2</v>
      </c>
      <c r="C281">
        <v>6.9822546163891275E-3</v>
      </c>
      <c r="D281">
        <v>3.6282474197088285E-2</v>
      </c>
    </row>
    <row r="282" spans="1:4" x14ac:dyDescent="0.3">
      <c r="A282">
        <v>-6.05075936709909E-3</v>
      </c>
      <c r="B282">
        <v>-7.7571959246480304E-2</v>
      </c>
      <c r="C282">
        <v>-1.1551904223495058E-2</v>
      </c>
      <c r="D282">
        <v>7.8660454114154094E-2</v>
      </c>
    </row>
    <row r="283" spans="1:4" x14ac:dyDescent="0.3">
      <c r="A283">
        <v>-1.0511788516851084E-2</v>
      </c>
      <c r="B283">
        <v>-6.292490750509927E-2</v>
      </c>
      <c r="C283">
        <v>-8.3489442479276477E-3</v>
      </c>
      <c r="D283">
        <v>6.4340862229249812E-2</v>
      </c>
    </row>
    <row r="284" spans="1:4" x14ac:dyDescent="0.3">
      <c r="A284">
        <v>-3.0567183460505021E-2</v>
      </c>
      <c r="B284">
        <v>8.7169546056145464E-2</v>
      </c>
      <c r="C284">
        <v>8.1827741604854509E-2</v>
      </c>
      <c r="D284">
        <v>0.12340446410277658</v>
      </c>
    </row>
    <row r="285" spans="1:4" x14ac:dyDescent="0.3">
      <c r="A285">
        <v>-1.8283378186652044E-3</v>
      </c>
      <c r="B285">
        <v>2.1907011844888302E-2</v>
      </c>
      <c r="C285">
        <v>2.1459106380717685E-2</v>
      </c>
      <c r="D285">
        <v>3.0720566951314494E-2</v>
      </c>
    </row>
    <row r="286" spans="1:4" x14ac:dyDescent="0.3">
      <c r="A286">
        <v>-3.6232496599950537E-2</v>
      </c>
      <c r="B286">
        <v>-7.7462971417958215E-2</v>
      </c>
      <c r="C286">
        <v>-3.9606508560154907E-3</v>
      </c>
      <c r="D286">
        <v>8.5609535134633777E-2</v>
      </c>
    </row>
    <row r="287" spans="1:4" x14ac:dyDescent="0.3">
      <c r="A287">
        <v>1.0109609636856476E-2</v>
      </c>
      <c r="B287">
        <v>-1.6776460571236385E-2</v>
      </c>
      <c r="C287">
        <v>-1.5386163014341037E-2</v>
      </c>
      <c r="D287">
        <v>2.4907586165900268E-2</v>
      </c>
    </row>
    <row r="288" spans="1:4" x14ac:dyDescent="0.3">
      <c r="A288">
        <v>-1.2559556296082519E-2</v>
      </c>
      <c r="B288">
        <v>3.9949136267804164E-2</v>
      </c>
      <c r="C288">
        <v>6.8281739075359837E-3</v>
      </c>
      <c r="D288">
        <v>4.2429941100708669E-2</v>
      </c>
    </row>
    <row r="289" spans="1:4" x14ac:dyDescent="0.3">
      <c r="A289">
        <v>-4.8817977182651712E-2</v>
      </c>
      <c r="B289">
        <v>2.8252235257235803E-2</v>
      </c>
      <c r="C289">
        <v>-6.2130017471081489E-3</v>
      </c>
      <c r="D289">
        <v>5.6744912405833084E-2</v>
      </c>
    </row>
    <row r="290" spans="1:4" x14ac:dyDescent="0.3">
      <c r="A290">
        <v>-3.8639202895097924E-2</v>
      </c>
      <c r="B290">
        <v>3.3097794640796707E-2</v>
      </c>
      <c r="C290">
        <v>-4.8931926712043605E-3</v>
      </c>
      <c r="D290">
        <v>5.1111596971435191E-2</v>
      </c>
    </row>
    <row r="291" spans="1:4" x14ac:dyDescent="0.3">
      <c r="A291">
        <v>-4.4545365114089464E-2</v>
      </c>
      <c r="B291">
        <v>6.4403269581905509E-2</v>
      </c>
      <c r="C291">
        <v>-6.6307596364421073E-3</v>
      </c>
      <c r="D291">
        <v>7.8587770418452552E-2</v>
      </c>
    </row>
    <row r="292" spans="1:4" x14ac:dyDescent="0.3">
      <c r="A292">
        <v>-2.6283278510561559E-2</v>
      </c>
      <c r="B292">
        <v>0.10708500298200888</v>
      </c>
      <c r="C292">
        <v>-1.3857175983056358E-4</v>
      </c>
      <c r="D292">
        <v>0.11026344723004636</v>
      </c>
    </row>
    <row r="293" spans="1:4" x14ac:dyDescent="0.3">
      <c r="A293">
        <v>-4.2508359833391296E-2</v>
      </c>
      <c r="B293">
        <v>7.1785724634811254E-2</v>
      </c>
      <c r="C293">
        <v>1.0967841557601332E-2</v>
      </c>
      <c r="D293">
        <v>8.4145376970470989E-2</v>
      </c>
    </row>
    <row r="294" spans="1:4" x14ac:dyDescent="0.3">
      <c r="A294">
        <v>-1.382567269502033E-2</v>
      </c>
      <c r="B294">
        <v>-4.8888203140222686E-3</v>
      </c>
      <c r="C294">
        <v>-8.8326612763012236E-2</v>
      </c>
      <c r="D294">
        <v>8.9535692948230119E-2</v>
      </c>
    </row>
    <row r="295" spans="1:4" x14ac:dyDescent="0.3">
      <c r="A295">
        <v>1.7878969295566094E-2</v>
      </c>
      <c r="B295">
        <v>2.9656562655304697E-3</v>
      </c>
      <c r="C295">
        <v>7.0554749485296497E-3</v>
      </c>
      <c r="D295">
        <v>1.9448197523328603E-2</v>
      </c>
    </row>
    <row r="296" spans="1:4" x14ac:dyDescent="0.3">
      <c r="A296">
        <v>-3.3066843378833255E-2</v>
      </c>
      <c r="B296">
        <v>8.1648912111188299E-2</v>
      </c>
      <c r="C296">
        <v>1.0281927191613249E-2</v>
      </c>
      <c r="D296">
        <v>8.8688663349689043E-2</v>
      </c>
    </row>
    <row r="297" spans="1:4" x14ac:dyDescent="0.3">
      <c r="A297">
        <v>2.3385509053127862E-2</v>
      </c>
      <c r="B297">
        <v>-1.1993679810899494E-2</v>
      </c>
      <c r="C297">
        <v>-4.6255002314410376E-3</v>
      </c>
      <c r="D297">
        <v>2.6685682331005971E-2</v>
      </c>
    </row>
    <row r="298" spans="1:4" x14ac:dyDescent="0.3">
      <c r="A298">
        <v>-1.5649546015886528E-2</v>
      </c>
      <c r="B298">
        <v>1.14495683249487E-2</v>
      </c>
      <c r="C298">
        <v>1.2432714388921795E-2</v>
      </c>
      <c r="D298">
        <v>2.3034176616660764E-2</v>
      </c>
    </row>
    <row r="299" spans="1:4" x14ac:dyDescent="0.3">
      <c r="A299">
        <v>-6.9905123315948003E-2</v>
      </c>
      <c r="B299">
        <v>-1.9754655572455704E-2</v>
      </c>
      <c r="C299">
        <v>1.5669872559556097E-3</v>
      </c>
      <c r="D299">
        <v>7.2659673352311313E-2</v>
      </c>
    </row>
    <row r="300" spans="1:4" x14ac:dyDescent="0.3">
      <c r="A300">
        <v>1.093820950927693E-3</v>
      </c>
      <c r="B300">
        <v>-6.257269043659619E-2</v>
      </c>
      <c r="C300">
        <v>6.0643188201083831E-3</v>
      </c>
      <c r="D300">
        <v>6.2875384654876701E-2</v>
      </c>
    </row>
    <row r="301" spans="1:4" x14ac:dyDescent="0.3">
      <c r="A301">
        <v>-3.6420770941049341E-2</v>
      </c>
      <c r="B301">
        <v>-3.3052129207199243E-2</v>
      </c>
      <c r="C301">
        <v>1.6884711872705793E-2</v>
      </c>
      <c r="D301">
        <v>5.2000089385443073E-2</v>
      </c>
    </row>
    <row r="302" spans="1:4" x14ac:dyDescent="0.3">
      <c r="A302">
        <v>9.9028834098476182E-2</v>
      </c>
      <c r="B302">
        <v>2.5853078668731655E-2</v>
      </c>
      <c r="C302">
        <v>-8.40381967329904E-2</v>
      </c>
      <c r="D302">
        <v>0.13242926477817485</v>
      </c>
    </row>
    <row r="303" spans="1:4" x14ac:dyDescent="0.3">
      <c r="A303">
        <v>-6.8806170103812292E-3</v>
      </c>
      <c r="B303">
        <v>7.9278444809574466E-2</v>
      </c>
      <c r="C303">
        <v>3.7219280598378646E-2</v>
      </c>
      <c r="D303">
        <v>8.7850381616297699E-2</v>
      </c>
    </row>
    <row r="304" spans="1:4" x14ac:dyDescent="0.3">
      <c r="A304">
        <v>-1.8182788647322923E-3</v>
      </c>
      <c r="B304">
        <v>2.3627547935063831E-2</v>
      </c>
      <c r="C304">
        <v>1.4739224903905779E-3</v>
      </c>
      <c r="D304">
        <v>2.37432012787103E-2</v>
      </c>
    </row>
    <row r="305" spans="1:4" x14ac:dyDescent="0.3">
      <c r="A305">
        <v>-1.5085606970842491E-2</v>
      </c>
      <c r="B305">
        <v>-8.6175150720464444E-2</v>
      </c>
      <c r="C305">
        <v>-9.3530024432197933E-2</v>
      </c>
      <c r="D305">
        <v>0.12806872221452448</v>
      </c>
    </row>
    <row r="306" spans="1:4" x14ac:dyDescent="0.3">
      <c r="A306">
        <v>-6.7385369295607234E-3</v>
      </c>
      <c r="B306">
        <v>8.7993404825610355E-2</v>
      </c>
      <c r="C306">
        <v>4.640308967054807E-3</v>
      </c>
      <c r="D306">
        <v>8.8372957628816126E-2</v>
      </c>
    </row>
    <row r="307" spans="1:4" x14ac:dyDescent="0.3">
      <c r="A307">
        <v>-2.2436701245794666E-2</v>
      </c>
      <c r="B307">
        <v>4.5574956675300093E-2</v>
      </c>
      <c r="C307">
        <v>2.3454971112244039E-2</v>
      </c>
      <c r="D307">
        <v>5.5951924976936469E-2</v>
      </c>
    </row>
    <row r="308" spans="1:4" x14ac:dyDescent="0.3">
      <c r="A308">
        <v>-5.2251155973843666E-3</v>
      </c>
      <c r="B308">
        <v>6.8339841019550818E-2</v>
      </c>
      <c r="C308">
        <v>-1.1702264412406738E-2</v>
      </c>
      <c r="D308">
        <v>6.9531134723671742E-2</v>
      </c>
    </row>
    <row r="309" spans="1:4" x14ac:dyDescent="0.3">
      <c r="A309">
        <v>1.6793908212093811E-3</v>
      </c>
      <c r="B309">
        <v>-7.3671897873747727E-2</v>
      </c>
      <c r="C309">
        <v>-1.5156292531486315E-2</v>
      </c>
      <c r="D309">
        <v>7.5233517086138318E-2</v>
      </c>
    </row>
    <row r="310" spans="1:4" x14ac:dyDescent="0.3">
      <c r="A310">
        <v>-2.9089189017952322E-3</v>
      </c>
      <c r="B310">
        <v>-2.0548120503673606E-2</v>
      </c>
      <c r="C310">
        <v>-1.7642003769349879E-2</v>
      </c>
      <c r="D310">
        <v>2.7238343606182599E-2</v>
      </c>
    </row>
    <row r="311" spans="1:4" x14ac:dyDescent="0.3">
      <c r="A311">
        <v>-3.0593006849244375E-3</v>
      </c>
      <c r="B311">
        <v>4.4141203391503903E-2</v>
      </c>
      <c r="C311">
        <v>-1.37040673310449E-2</v>
      </c>
      <c r="D311">
        <v>4.6320693204492384E-2</v>
      </c>
    </row>
    <row r="312" spans="1:4" x14ac:dyDescent="0.3">
      <c r="A312">
        <v>-9.9586627786152349E-3</v>
      </c>
      <c r="B312">
        <v>6.5442852111398775E-2</v>
      </c>
      <c r="C312">
        <v>-4.3968670902927443E-3</v>
      </c>
      <c r="D312">
        <v>6.6342100486962929E-2</v>
      </c>
    </row>
    <row r="313" spans="1:4" x14ac:dyDescent="0.3">
      <c r="A313">
        <v>6.1656428437913746E-2</v>
      </c>
      <c r="B313">
        <v>3.1842479117813127E-2</v>
      </c>
      <c r="C313">
        <v>-9.7977227190995109E-2</v>
      </c>
      <c r="D313">
        <v>0.12006246579228587</v>
      </c>
    </row>
    <row r="314" spans="1:4" x14ac:dyDescent="0.3">
      <c r="A314">
        <v>7.0700558580938377E-6</v>
      </c>
      <c r="B314">
        <v>1.5099813260192718E-2</v>
      </c>
      <c r="C314">
        <v>1.0829691511261785E-2</v>
      </c>
      <c r="D314">
        <v>1.8581889804524115E-2</v>
      </c>
    </row>
    <row r="315" spans="1:4" x14ac:dyDescent="0.3">
      <c r="A315">
        <v>-1.1139371530191511E-2</v>
      </c>
      <c r="B315">
        <v>0.11144215840520744</v>
      </c>
      <c r="C315">
        <v>-4.5015465902054075E-3</v>
      </c>
      <c r="D315">
        <v>0.11208793061611397</v>
      </c>
    </row>
    <row r="316" spans="1:4" x14ac:dyDescent="0.3">
      <c r="A316">
        <v>-4.6256586402932953E-3</v>
      </c>
      <c r="B316">
        <v>-9.9153835148300118E-2</v>
      </c>
      <c r="C316">
        <v>1.3927349625419083E-2</v>
      </c>
      <c r="D316">
        <v>0.10023398031636506</v>
      </c>
    </row>
    <row r="317" spans="1:4" x14ac:dyDescent="0.3">
      <c r="A317">
        <v>3.5828757037961623E-2</v>
      </c>
      <c r="B317">
        <v>-1.5855016824048107E-2</v>
      </c>
      <c r="C317">
        <v>-6.0411350912090711E-2</v>
      </c>
      <c r="D317">
        <v>7.2004254793726574E-2</v>
      </c>
    </row>
    <row r="318" spans="1:4" x14ac:dyDescent="0.3">
      <c r="A318">
        <v>-1.7225748164946708E-2</v>
      </c>
      <c r="B318">
        <v>-7.0420216038698413E-2</v>
      </c>
      <c r="C318">
        <v>1.7368752245658925E-2</v>
      </c>
      <c r="D318">
        <v>7.4548016615804111E-2</v>
      </c>
    </row>
    <row r="319" spans="1:4" x14ac:dyDescent="0.3">
      <c r="A319">
        <v>-1.9797223606929037E-2</v>
      </c>
      <c r="B319">
        <v>-8.9409495379577208E-2</v>
      </c>
      <c r="C319">
        <v>-3.3258970070164651E-3</v>
      </c>
      <c r="D319">
        <v>9.1635416283632753E-2</v>
      </c>
    </row>
    <row r="320" spans="1:4" x14ac:dyDescent="0.3">
      <c r="A320">
        <v>-3.1188311585651718E-2</v>
      </c>
      <c r="B320">
        <v>-0.12892509871500835</v>
      </c>
      <c r="C320">
        <v>5.7522331419477268E-3</v>
      </c>
      <c r="D320">
        <v>0.13276852053238247</v>
      </c>
    </row>
    <row r="321" spans="1:4" x14ac:dyDescent="0.3">
      <c r="A321">
        <v>-2.8591646388576919E-2</v>
      </c>
      <c r="B321">
        <v>5.3365025505229369E-2</v>
      </c>
      <c r="C321">
        <v>3.9936155535031048E-2</v>
      </c>
      <c r="D321">
        <v>7.2527268729088351E-2</v>
      </c>
    </row>
    <row r="322" spans="1:4" x14ac:dyDescent="0.3">
      <c r="A322">
        <v>2.4875282691141365E-3</v>
      </c>
      <c r="B322">
        <v>1.7451169011607703E-2</v>
      </c>
      <c r="C322">
        <v>7.1670503359086979E-3</v>
      </c>
      <c r="D322">
        <v>1.9028865107483101E-2</v>
      </c>
    </row>
    <row r="323" spans="1:4" x14ac:dyDescent="0.3">
      <c r="A323">
        <v>9.2805865406035082E-2</v>
      </c>
      <c r="B323">
        <v>8.2923640896410689E-2</v>
      </c>
      <c r="C323">
        <v>-9.1572127862946218E-2</v>
      </c>
      <c r="D323">
        <v>0.15451444422651153</v>
      </c>
    </row>
    <row r="324" spans="1:4" x14ac:dyDescent="0.3">
      <c r="A324">
        <v>-5.8936307350450079E-3</v>
      </c>
      <c r="B324">
        <v>-6.0794511282097119E-2</v>
      </c>
      <c r="C324">
        <v>8.2346233357384335E-3</v>
      </c>
      <c r="D324">
        <v>6.1632106135938509E-2</v>
      </c>
    </row>
    <row r="325" spans="1:4" x14ac:dyDescent="0.3">
      <c r="A325">
        <v>-7.2708692061951297E-3</v>
      </c>
      <c r="B325">
        <v>3.9228087759125785E-2</v>
      </c>
      <c r="C325">
        <v>-1.8686865165420841E-2</v>
      </c>
      <c r="D325">
        <v>4.4055729910669847E-2</v>
      </c>
    </row>
    <row r="326" spans="1:4" x14ac:dyDescent="0.3">
      <c r="A326">
        <v>-2.7378933471469594E-2</v>
      </c>
      <c r="B326">
        <v>5.6474882624865441E-2</v>
      </c>
      <c r="C326">
        <v>7.529934331143906E-3</v>
      </c>
      <c r="D326">
        <v>6.3211694144033395E-2</v>
      </c>
    </row>
    <row r="327" spans="1:4" x14ac:dyDescent="0.3">
      <c r="A327">
        <v>-1.5190680308421634E-2</v>
      </c>
      <c r="B327">
        <v>-2.834520435285201E-2</v>
      </c>
      <c r="C327">
        <v>-4.9750744133802982E-3</v>
      </c>
      <c r="D327">
        <v>3.2541646292962509E-2</v>
      </c>
    </row>
    <row r="328" spans="1:4" x14ac:dyDescent="0.3">
      <c r="A328">
        <v>-1.4938945581008056E-2</v>
      </c>
      <c r="B328">
        <v>-2.4223988170698929E-2</v>
      </c>
      <c r="C328">
        <v>-1.9654378727829158E-3</v>
      </c>
      <c r="D328">
        <v>2.8527822279281172E-2</v>
      </c>
    </row>
    <row r="329" spans="1:4" x14ac:dyDescent="0.3">
      <c r="A329">
        <v>-7.5193755446889554E-3</v>
      </c>
      <c r="B329">
        <v>6.5657962169465595E-2</v>
      </c>
      <c r="C329">
        <v>4.8941619572707984E-3</v>
      </c>
      <c r="D329">
        <v>6.6268105647385445E-2</v>
      </c>
    </row>
    <row r="330" spans="1:4" x14ac:dyDescent="0.3">
      <c r="A330">
        <v>-1.6244960584600676E-2</v>
      </c>
      <c r="B330">
        <v>5.9640875367290236E-2</v>
      </c>
      <c r="C330">
        <v>1.2417146510699695E-2</v>
      </c>
      <c r="D330">
        <v>6.3048539130102429E-2</v>
      </c>
    </row>
    <row r="331" spans="1:4" x14ac:dyDescent="0.3">
      <c r="A331">
        <v>0.15516782246606908</v>
      </c>
      <c r="B331">
        <v>0.14951966914588866</v>
      </c>
      <c r="C331">
        <v>-0.18789644278490414</v>
      </c>
      <c r="D331">
        <v>0.28589903427884866</v>
      </c>
    </row>
    <row r="332" spans="1:4" x14ac:dyDescent="0.3">
      <c r="A332">
        <v>-1.3182678906105139E-3</v>
      </c>
      <c r="B332">
        <v>-6.2042388954964167E-2</v>
      </c>
      <c r="C332">
        <v>-1.2321035730849417E-2</v>
      </c>
      <c r="D332">
        <v>6.3267715139329495E-2</v>
      </c>
    </row>
    <row r="333" spans="1:4" x14ac:dyDescent="0.3">
      <c r="A333">
        <v>-2.2303343936187048E-2</v>
      </c>
      <c r="B333">
        <v>8.1845945964621691E-2</v>
      </c>
      <c r="C333">
        <v>7.4076892273922113E-3</v>
      </c>
      <c r="D333">
        <v>8.5153225900544999E-2</v>
      </c>
    </row>
    <row r="334" spans="1:4" x14ac:dyDescent="0.3">
      <c r="A334">
        <v>9.218660497140263E-3</v>
      </c>
      <c r="B334">
        <v>-5.669388960073718E-2</v>
      </c>
      <c r="C334">
        <v>1.1826403646182371E-3</v>
      </c>
      <c r="D334">
        <v>5.7450669775505087E-2</v>
      </c>
    </row>
    <row r="335" spans="1:4" x14ac:dyDescent="0.3">
      <c r="A335">
        <v>0.17226192270913998</v>
      </c>
      <c r="B335">
        <v>0.21797065312279074</v>
      </c>
      <c r="C335">
        <v>-0.20523180876489278</v>
      </c>
      <c r="D335">
        <v>0.34540624048666985</v>
      </c>
    </row>
    <row r="336" spans="1:4" x14ac:dyDescent="0.3">
      <c r="A336">
        <v>-1.2818449811220489E-3</v>
      </c>
      <c r="B336">
        <v>-2.8371216577809832E-2</v>
      </c>
      <c r="C336">
        <v>2.9203156718153878E-3</v>
      </c>
      <c r="D336">
        <v>2.8549908936521495E-2</v>
      </c>
    </row>
    <row r="337" spans="1:4" x14ac:dyDescent="0.3">
      <c r="A337">
        <v>-2.4368724464011393E-2</v>
      </c>
      <c r="B337">
        <v>-5.1584673100752099E-2</v>
      </c>
      <c r="C337">
        <v>-9.2353205220661039E-3</v>
      </c>
      <c r="D337">
        <v>5.7793636120767308E-2</v>
      </c>
    </row>
    <row r="338" spans="1:4" x14ac:dyDescent="0.3">
      <c r="A338">
        <v>-4.1492536786449818E-2</v>
      </c>
      <c r="B338">
        <v>-6.3952852344190347E-2</v>
      </c>
      <c r="C338">
        <v>3.6261059869957535E-3</v>
      </c>
      <c r="D338">
        <v>7.6320027362165116E-2</v>
      </c>
    </row>
    <row r="339" spans="1:4" x14ac:dyDescent="0.3">
      <c r="A339">
        <v>-2.0328763315376364E-2</v>
      </c>
      <c r="B339">
        <v>-9.1689911300875337E-2</v>
      </c>
      <c r="C339">
        <v>-3.1138572512872997E-2</v>
      </c>
      <c r="D339">
        <v>9.8943969752756683E-2</v>
      </c>
    </row>
    <row r="340" spans="1:4" x14ac:dyDescent="0.3">
      <c r="A340">
        <v>1.0553987943978882E-2</v>
      </c>
      <c r="B340">
        <v>-3.689954568305609E-2</v>
      </c>
      <c r="C340">
        <v>8.6935079274041982E-3</v>
      </c>
      <c r="D340">
        <v>3.9351495692304179E-2</v>
      </c>
    </row>
    <row r="341" spans="1:4" x14ac:dyDescent="0.3">
      <c r="A341">
        <v>0.11648852361008721</v>
      </c>
      <c r="B341">
        <v>0.11312034003890403</v>
      </c>
      <c r="C341">
        <v>-9.1636756538719055E-2</v>
      </c>
      <c r="D341">
        <v>0.18644860582024095</v>
      </c>
    </row>
    <row r="342" spans="1:4" x14ac:dyDescent="0.3">
      <c r="A342">
        <v>-1.0330058493195793E-2</v>
      </c>
      <c r="B342">
        <v>5.7778421059055063E-2</v>
      </c>
      <c r="C342">
        <v>3.0870223744159375E-3</v>
      </c>
      <c r="D342">
        <v>5.8775724203879005E-2</v>
      </c>
    </row>
    <row r="343" spans="1:4" x14ac:dyDescent="0.3">
      <c r="A343">
        <v>-7.7482100268753129E-3</v>
      </c>
      <c r="B343">
        <v>5.4754782117887757E-2</v>
      </c>
      <c r="C343">
        <v>1.4896108837660904E-3</v>
      </c>
      <c r="D343">
        <v>5.5320338610523399E-2</v>
      </c>
    </row>
    <row r="344" spans="1:4" x14ac:dyDescent="0.3">
      <c r="A344">
        <v>-2.9431436920842519E-2</v>
      </c>
      <c r="B344">
        <v>5.1515978087594561E-2</v>
      </c>
      <c r="C344">
        <v>-4.6630518254344722E-3</v>
      </c>
      <c r="D344">
        <v>5.9513439909601451E-2</v>
      </c>
    </row>
    <row r="345" spans="1:4" x14ac:dyDescent="0.3">
      <c r="A345">
        <v>-1.3664177607381589E-2</v>
      </c>
      <c r="B345">
        <v>-1.3459994810180453E-3</v>
      </c>
      <c r="C345">
        <v>-7.1111851736986864E-3</v>
      </c>
      <c r="D345">
        <v>1.5462548912246044E-2</v>
      </c>
    </row>
    <row r="346" spans="1:4" x14ac:dyDescent="0.3">
      <c r="A346">
        <v>-2.5770121249394151E-2</v>
      </c>
      <c r="B346">
        <v>-8.0196794085657941E-3</v>
      </c>
      <c r="C346">
        <v>-8.2948502943517854E-3</v>
      </c>
      <c r="D346">
        <v>2.8235065936355774E-2</v>
      </c>
    </row>
    <row r="347" spans="1:4" x14ac:dyDescent="0.3">
      <c r="A347">
        <v>-1.8094222109198199E-2</v>
      </c>
      <c r="B347">
        <v>7.3316958571188154E-2</v>
      </c>
      <c r="C347">
        <v>1.9535981240714761E-4</v>
      </c>
      <c r="D347">
        <v>7.551698784593186E-2</v>
      </c>
    </row>
    <row r="348" spans="1:4" x14ac:dyDescent="0.3">
      <c r="A348">
        <v>-2.6798191281500294E-2</v>
      </c>
      <c r="B348">
        <v>3.5040307467029241E-2</v>
      </c>
      <c r="C348">
        <v>-2.4630031045091982E-3</v>
      </c>
      <c r="D348">
        <v>4.4181812860459281E-2</v>
      </c>
    </row>
    <row r="349" spans="1:4" x14ac:dyDescent="0.3">
      <c r="A349">
        <v>3.5818924777686334E-3</v>
      </c>
      <c r="B349">
        <v>-2.3051896322911603E-2</v>
      </c>
      <c r="C349">
        <v>3.142391141196299E-3</v>
      </c>
      <c r="D349">
        <v>2.3539211964057546E-2</v>
      </c>
    </row>
    <row r="350" spans="1:4" x14ac:dyDescent="0.3">
      <c r="A350">
        <v>-3.0875546802974441E-2</v>
      </c>
      <c r="B350">
        <v>7.0244855648720961E-2</v>
      </c>
      <c r="C350">
        <v>-3.7284045955061629E-3</v>
      </c>
      <c r="D350">
        <v>7.6821482258025334E-2</v>
      </c>
    </row>
    <row r="351" spans="1:4" x14ac:dyDescent="0.3">
      <c r="A351">
        <v>2.6609248488853154E-2</v>
      </c>
      <c r="B351">
        <v>-2.6115978147373653E-2</v>
      </c>
      <c r="C351">
        <v>-7.7614558299501368E-3</v>
      </c>
      <c r="D351">
        <v>3.8083285261856011E-2</v>
      </c>
    </row>
    <row r="352" spans="1:4" x14ac:dyDescent="0.3">
      <c r="A352">
        <v>-8.1245877755691254E-3</v>
      </c>
      <c r="B352">
        <v>-7.0866146132274821E-2</v>
      </c>
      <c r="C352">
        <v>5.0376628931815048E-2</v>
      </c>
      <c r="D352">
        <v>8.7325965993498414E-2</v>
      </c>
    </row>
    <row r="353" spans="1:4" x14ac:dyDescent="0.3">
      <c r="A353">
        <v>4.1231373500068003E-3</v>
      </c>
      <c r="B353">
        <v>-4.6048796293973737E-2</v>
      </c>
      <c r="C353">
        <v>3.3379063785332619E-4</v>
      </c>
      <c r="D353">
        <v>4.6234222367428537E-2</v>
      </c>
    </row>
    <row r="354" spans="1:4" x14ac:dyDescent="0.3">
      <c r="A354">
        <v>-1.2087908183048057E-2</v>
      </c>
      <c r="B354">
        <v>-5.8145194578209214E-2</v>
      </c>
      <c r="C354">
        <v>-1.9206338702758785E-2</v>
      </c>
      <c r="D354">
        <v>6.2416861689327988E-2</v>
      </c>
    </row>
    <row r="355" spans="1:4" x14ac:dyDescent="0.3">
      <c r="A355">
        <v>-2.9293752334638157E-2</v>
      </c>
      <c r="B355">
        <v>-4.8562362928670666E-2</v>
      </c>
      <c r="C355">
        <v>-6.4268891769643233E-3</v>
      </c>
      <c r="D355">
        <v>5.7076544425464538E-2</v>
      </c>
    </row>
    <row r="356" spans="1:4" x14ac:dyDescent="0.3">
      <c r="A356">
        <v>-2.6529287272012425E-2</v>
      </c>
      <c r="B356">
        <v>2.548720668085025E-2</v>
      </c>
      <c r="C356">
        <v>6.3305796007227855E-2</v>
      </c>
      <c r="D356">
        <v>7.3219017991653534E-2</v>
      </c>
    </row>
    <row r="357" spans="1:4" x14ac:dyDescent="0.3">
      <c r="A357">
        <v>-5.5892606454222005E-3</v>
      </c>
      <c r="B357">
        <v>-4.1439569207994964E-3</v>
      </c>
      <c r="C357">
        <v>1.4454047929888247E-2</v>
      </c>
      <c r="D357">
        <v>1.6041562114813324E-2</v>
      </c>
    </row>
    <row r="358" spans="1:4" x14ac:dyDescent="0.3">
      <c r="A358">
        <v>1.7035261195019302E-2</v>
      </c>
      <c r="B358">
        <v>-2.5928478140713196E-2</v>
      </c>
      <c r="C358">
        <v>-3.7899273472703499E-3</v>
      </c>
      <c r="D358">
        <v>3.1254594093885785E-2</v>
      </c>
    </row>
    <row r="359" spans="1:4" x14ac:dyDescent="0.3">
      <c r="A359">
        <v>-2.5475483067509685E-2</v>
      </c>
      <c r="B359">
        <v>3.2155444479576634E-2</v>
      </c>
      <c r="C359">
        <v>-6.4038208637953176E-3</v>
      </c>
      <c r="D359">
        <v>4.1520859442666744E-2</v>
      </c>
    </row>
    <row r="360" spans="1:4" x14ac:dyDescent="0.3">
      <c r="A360">
        <v>-2.2526785707954671E-2</v>
      </c>
      <c r="B360">
        <v>4.3610101582215795E-2</v>
      </c>
      <c r="C360">
        <v>-1.9131836716138911E-2</v>
      </c>
      <c r="D360">
        <v>5.2681345944046387E-2</v>
      </c>
    </row>
    <row r="361" spans="1:4" x14ac:dyDescent="0.3">
      <c r="A361">
        <v>-2.2669894995914319E-2</v>
      </c>
      <c r="B361">
        <v>8.2617280286948092E-2</v>
      </c>
      <c r="C361">
        <v>-1.0594916472712157E-2</v>
      </c>
      <c r="D361">
        <v>8.6323759163984909E-2</v>
      </c>
    </row>
    <row r="362" spans="1:4" x14ac:dyDescent="0.3">
      <c r="A362">
        <v>-2.84424772100067E-2</v>
      </c>
      <c r="B362">
        <v>4.2322692968531084E-2</v>
      </c>
      <c r="C362">
        <v>-8.3582163487170291E-3</v>
      </c>
      <c r="D362">
        <v>5.1672474592206842E-2</v>
      </c>
    </row>
    <row r="363" spans="1:4" x14ac:dyDescent="0.3">
      <c r="A363">
        <v>-1.7776691572407799E-2</v>
      </c>
      <c r="B363">
        <v>0.11124239680621059</v>
      </c>
      <c r="C363">
        <v>1.3672708811572065E-3</v>
      </c>
      <c r="D363">
        <v>0.1126621100464277</v>
      </c>
    </row>
    <row r="364" spans="1:4" x14ac:dyDescent="0.3">
      <c r="A364">
        <v>-2.6512574473798622E-2</v>
      </c>
      <c r="B364">
        <v>4.0897629000927693E-2</v>
      </c>
      <c r="C364">
        <v>-2.4801449594065161E-3</v>
      </c>
      <c r="D364">
        <v>4.8802497703969105E-2</v>
      </c>
    </row>
    <row r="365" spans="1:4" x14ac:dyDescent="0.3">
      <c r="A365">
        <v>-0.11192240683192267</v>
      </c>
      <c r="B365">
        <v>-4.4850354962704841E-2</v>
      </c>
      <c r="C365">
        <v>1.2568380611810426E-4</v>
      </c>
      <c r="D365">
        <v>0.12057443878264644</v>
      </c>
    </row>
    <row r="366" spans="1:4" x14ac:dyDescent="0.3">
      <c r="A366">
        <v>1.1359384005118045E-2</v>
      </c>
      <c r="B366">
        <v>1.320892305679422E-2</v>
      </c>
      <c r="C366">
        <v>1.331887977185886E-2</v>
      </c>
      <c r="D366">
        <v>2.1929519184726159E-2</v>
      </c>
    </row>
    <row r="367" spans="1:4" x14ac:dyDescent="0.3">
      <c r="A367">
        <v>-2.419603431798123E-2</v>
      </c>
      <c r="B367">
        <v>7.3968711860731062E-2</v>
      </c>
      <c r="C367">
        <v>-1.9905437059151154E-3</v>
      </c>
      <c r="D367">
        <v>7.7851015891238953E-2</v>
      </c>
    </row>
    <row r="368" spans="1:4" x14ac:dyDescent="0.3">
      <c r="A368">
        <v>1.4926968867825963E-2</v>
      </c>
      <c r="B368">
        <v>-2.6090577517408065E-3</v>
      </c>
      <c r="C368">
        <v>-3.6857435658248505E-3</v>
      </c>
      <c r="D368">
        <v>1.5595072541222228E-2</v>
      </c>
    </row>
    <row r="369" spans="1:4" x14ac:dyDescent="0.3">
      <c r="A369">
        <v>9.3547928320703022E-3</v>
      </c>
      <c r="B369">
        <v>7.2715514922805369E-2</v>
      </c>
      <c r="C369">
        <v>-9.258754389634305E-3</v>
      </c>
      <c r="D369">
        <v>7.3897109498729754E-2</v>
      </c>
    </row>
    <row r="370" spans="1:4" x14ac:dyDescent="0.3">
      <c r="A370">
        <v>-7.4563701666875204E-2</v>
      </c>
      <c r="B370">
        <v>1.566186622881105E-3</v>
      </c>
      <c r="C370">
        <v>-1.9164852983976743E-2</v>
      </c>
      <c r="D370">
        <v>7.700318264008249E-2</v>
      </c>
    </row>
    <row r="371" spans="1:4" x14ac:dyDescent="0.3">
      <c r="A371">
        <v>-2.3897702408248733E-4</v>
      </c>
      <c r="B371">
        <v>-6.0481568604160429E-3</v>
      </c>
      <c r="C371">
        <v>9.624162590796459E-3</v>
      </c>
      <c r="D371">
        <v>1.1369336700103616E-2</v>
      </c>
    </row>
    <row r="372" spans="1:4" x14ac:dyDescent="0.3">
      <c r="A372">
        <v>-2.6732106636018216E-2</v>
      </c>
      <c r="B372">
        <v>-1.16382030761919E-2</v>
      </c>
      <c r="C372">
        <v>-1.5200640604916771E-2</v>
      </c>
      <c r="D372">
        <v>3.2880279360765416E-2</v>
      </c>
    </row>
    <row r="373" spans="1:4" x14ac:dyDescent="0.3">
      <c r="A373">
        <v>-5.6406525221518677E-2</v>
      </c>
      <c r="B373">
        <v>-1.0054788186110386E-2</v>
      </c>
      <c r="C373">
        <v>6.916883876101565E-3</v>
      </c>
      <c r="D373">
        <v>5.7711681101739201E-2</v>
      </c>
    </row>
    <row r="374" spans="1:4" x14ac:dyDescent="0.3">
      <c r="A374">
        <v>-2.3878449157393788E-2</v>
      </c>
      <c r="B374">
        <v>-6.7387488725785261E-3</v>
      </c>
      <c r="C374">
        <v>3.4726955611915855E-2</v>
      </c>
      <c r="D374">
        <v>4.2679649911894692E-2</v>
      </c>
    </row>
    <row r="375" spans="1:4" x14ac:dyDescent="0.3">
      <c r="A375">
        <v>-5.5618839886619753E-3</v>
      </c>
      <c r="B375">
        <v>2.8712305862271137E-2</v>
      </c>
      <c r="C375">
        <v>1.6460806638804115E-2</v>
      </c>
      <c r="D375">
        <v>3.3560232666536176E-2</v>
      </c>
    </row>
    <row r="376" spans="1:4" x14ac:dyDescent="0.3">
      <c r="A376">
        <v>-0.12621145272078138</v>
      </c>
      <c r="B376">
        <v>-5.7950543785295849E-2</v>
      </c>
      <c r="C376">
        <v>1.3855584347538752E-2</v>
      </c>
      <c r="D376">
        <v>0.13956924281700925</v>
      </c>
    </row>
    <row r="377" spans="1:4" x14ac:dyDescent="0.3">
      <c r="A377">
        <v>-9.2818067878397414E-3</v>
      </c>
      <c r="B377">
        <v>0.17168465771133867</v>
      </c>
      <c r="C377">
        <v>-4.124651709958016E-3</v>
      </c>
      <c r="D377">
        <v>0.1719848434671927</v>
      </c>
    </row>
    <row r="378" spans="1:4" x14ac:dyDescent="0.3">
      <c r="A378">
        <v>-2.6377721063170156E-2</v>
      </c>
      <c r="B378">
        <v>5.7673741321223826E-2</v>
      </c>
      <c r="C378">
        <v>2.3840556787035894E-3</v>
      </c>
      <c r="D378">
        <v>6.3464386296197731E-2</v>
      </c>
    </row>
    <row r="379" spans="1:4" x14ac:dyDescent="0.3">
      <c r="A379">
        <v>-5.7937788790029948E-3</v>
      </c>
      <c r="B379">
        <v>-1.2615244469451503E-2</v>
      </c>
      <c r="C379">
        <v>-2.6806460602845583E-2</v>
      </c>
      <c r="D379">
        <v>3.0187722616565833E-2</v>
      </c>
    </row>
    <row r="380" spans="1:4" x14ac:dyDescent="0.3">
      <c r="A380">
        <v>-1.0662918848993286E-2</v>
      </c>
      <c r="B380">
        <v>5.0326700476077679E-3</v>
      </c>
      <c r="C380">
        <v>-1.7883338157218986E-2</v>
      </c>
      <c r="D380">
        <v>2.1420536637389579E-2</v>
      </c>
    </row>
    <row r="381" spans="1:4" x14ac:dyDescent="0.3">
      <c r="A381">
        <v>-2.0755928758205755E-2</v>
      </c>
      <c r="B381">
        <v>3.019850382180031E-2</v>
      </c>
      <c r="C381">
        <v>1.0784256245579549E-3</v>
      </c>
      <c r="D381">
        <v>3.6659531005165676E-2</v>
      </c>
    </row>
    <row r="382" spans="1:4" x14ac:dyDescent="0.3">
      <c r="A382">
        <v>-8.4816106721063989E-3</v>
      </c>
      <c r="B382">
        <v>0.10439804379126694</v>
      </c>
      <c r="C382">
        <v>-1.1348683053912706E-2</v>
      </c>
      <c r="D382">
        <v>0.10535502775897619</v>
      </c>
    </row>
    <row r="383" spans="1:4" x14ac:dyDescent="0.3">
      <c r="A383">
        <v>-1.4020886347907435E-2</v>
      </c>
      <c r="B383">
        <v>1.948654385789711E-2</v>
      </c>
      <c r="C383">
        <v>-1.179691841582553E-2</v>
      </c>
      <c r="D383">
        <v>2.6748419198455976E-2</v>
      </c>
    </row>
    <row r="384" spans="1:4" x14ac:dyDescent="0.3">
      <c r="A384">
        <v>2.3804511681987606E-2</v>
      </c>
      <c r="B384">
        <v>-0.18307781010980761</v>
      </c>
      <c r="C384">
        <v>9.9966841932882744E-2</v>
      </c>
      <c r="D384">
        <v>0.20994644273493804</v>
      </c>
    </row>
    <row r="385" spans="1:4" x14ac:dyDescent="0.3">
      <c r="A385">
        <v>2.5247856766554833E-2</v>
      </c>
      <c r="B385">
        <v>3.9387471177292355E-3</v>
      </c>
      <c r="C385">
        <v>3.7657624912981191E-3</v>
      </c>
      <c r="D385">
        <v>2.5829226997778253E-2</v>
      </c>
    </row>
    <row r="386" spans="1:4" x14ac:dyDescent="0.3">
      <c r="A386">
        <v>-1.897475727400888E-2</v>
      </c>
      <c r="B386">
        <v>8.0832370354000815E-2</v>
      </c>
      <c r="C386">
        <v>-6.6808496902979186E-3</v>
      </c>
      <c r="D386">
        <v>8.3297942731127853E-2</v>
      </c>
    </row>
    <row r="387" spans="1:4" x14ac:dyDescent="0.3">
      <c r="A387">
        <v>2.8851248556861719E-2</v>
      </c>
      <c r="B387">
        <v>-5.6222823988790083E-2</v>
      </c>
      <c r="C387">
        <v>1.6417976993579941E-2</v>
      </c>
      <c r="D387">
        <v>6.5291273912568171E-2</v>
      </c>
    </row>
    <row r="388" spans="1:4" x14ac:dyDescent="0.3">
      <c r="A388">
        <v>4.1991582900813285E-2</v>
      </c>
      <c r="B388">
        <v>-1.648378184250987E-2</v>
      </c>
      <c r="C388">
        <v>1.5745737235874913E-3</v>
      </c>
      <c r="D388">
        <v>4.5138535429922237E-2</v>
      </c>
    </row>
    <row r="389" spans="1:4" x14ac:dyDescent="0.3">
      <c r="A389">
        <v>3.5652321261068209E-2</v>
      </c>
      <c r="B389">
        <v>-0.14315494475954438</v>
      </c>
      <c r="C389">
        <v>4.8764716653977302E-2</v>
      </c>
      <c r="D389">
        <v>0.15537832477779295</v>
      </c>
    </row>
    <row r="390" spans="1:4" x14ac:dyDescent="0.3">
      <c r="A390">
        <v>8.86015159312592E-3</v>
      </c>
      <c r="B390">
        <v>-9.1839651033609471E-3</v>
      </c>
      <c r="C390">
        <v>2.6242230249636123E-2</v>
      </c>
      <c r="D390">
        <v>2.918050975819032E-2</v>
      </c>
    </row>
    <row r="391" spans="1:4" x14ac:dyDescent="0.3">
      <c r="A391">
        <v>-2.9429259712969724E-2</v>
      </c>
      <c r="B391">
        <v>-1.8390771095639025E-2</v>
      </c>
      <c r="C391">
        <v>-1.0050548827621242E-2</v>
      </c>
      <c r="D391">
        <v>3.6129147796232525E-2</v>
      </c>
    </row>
    <row r="392" spans="1:4" x14ac:dyDescent="0.3">
      <c r="A392">
        <v>-5.2152716996715753E-2</v>
      </c>
      <c r="B392">
        <v>7.8789885648795632E-3</v>
      </c>
      <c r="C392">
        <v>6.7875644258492684E-3</v>
      </c>
      <c r="D392">
        <v>5.317946391023589E-2</v>
      </c>
    </row>
    <row r="393" spans="1:4" x14ac:dyDescent="0.3">
      <c r="A393">
        <v>5.1366847465487808E-2</v>
      </c>
      <c r="B393">
        <v>2.6997023562159939E-2</v>
      </c>
      <c r="C393">
        <v>7.9313654592510829E-2</v>
      </c>
      <c r="D393">
        <v>9.8275368758293777E-2</v>
      </c>
    </row>
    <row r="394" spans="1:4" x14ac:dyDescent="0.3">
      <c r="A394">
        <v>2.6283508363007968E-2</v>
      </c>
      <c r="B394">
        <v>-1.1804437648123667E-2</v>
      </c>
      <c r="C394">
        <v>2.365690263602005E-2</v>
      </c>
      <c r="D394">
        <v>3.7280244129925998E-2</v>
      </c>
    </row>
    <row r="395" spans="1:4" x14ac:dyDescent="0.3">
      <c r="A395">
        <v>-1.9897035700978449E-2</v>
      </c>
      <c r="B395">
        <v>-0.17132297803402707</v>
      </c>
      <c r="C395">
        <v>0.15420637067268217</v>
      </c>
      <c r="D395">
        <v>0.23135915713058428</v>
      </c>
    </row>
    <row r="396" spans="1:4" x14ac:dyDescent="0.3">
      <c r="A396">
        <v>1.7669164899984935E-2</v>
      </c>
      <c r="B396">
        <v>2.653992031751784E-2</v>
      </c>
      <c r="C396">
        <v>3.2089294070942742E-2</v>
      </c>
      <c r="D396">
        <v>4.5235932097111659E-2</v>
      </c>
    </row>
    <row r="397" spans="1:4" x14ac:dyDescent="0.3">
      <c r="A397">
        <v>-1.5966715395052233E-2</v>
      </c>
      <c r="B397">
        <v>4.9804158996753056E-2</v>
      </c>
      <c r="C397">
        <v>-1.481131272038283E-2</v>
      </c>
      <c r="D397">
        <v>5.4357752330108637E-2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189"/>
  <sheetViews>
    <sheetView tabSelected="1" topLeftCell="D1" workbookViewId="0">
      <selection activeCell="G2" sqref="G2:G397"/>
    </sheetView>
  </sheetViews>
  <sheetFormatPr defaultRowHeight="16.5" x14ac:dyDescent="0.3"/>
  <sheetData>
    <row r="1" spans="1:11" x14ac:dyDescent="0.3">
      <c r="A1" t="s">
        <v>143</v>
      </c>
      <c r="B1" t="s">
        <v>134</v>
      </c>
      <c r="F1" t="s">
        <v>144</v>
      </c>
      <c r="G1" t="s">
        <v>144</v>
      </c>
    </row>
    <row r="2" spans="1:11" x14ac:dyDescent="0.3">
      <c r="A2">
        <v>-0.50573207530646869</v>
      </c>
      <c r="B2">
        <v>5.885157527735517E-3</v>
      </c>
      <c r="F2">
        <f>_xlfn.NORM.DIST(A2,$J$6,$K$6,FALSE)</f>
        <v>5.9654902379953248E-4</v>
      </c>
      <c r="G2">
        <f>_xlfn.NORM.DIST(B2,$J$7,$K$7,FALSE)</f>
        <v>2.5939757967192092</v>
      </c>
      <c r="J2" t="s">
        <v>142</v>
      </c>
      <c r="K2" t="s">
        <v>134</v>
      </c>
    </row>
    <row r="3" spans="1:11" x14ac:dyDescent="0.3">
      <c r="A3">
        <v>-0.45574043887734206</v>
      </c>
      <c r="B3">
        <v>7.326729533351747E-3</v>
      </c>
      <c r="F3">
        <f t="shared" ref="F3:F66" si="0">_xlfn.NORM.DIST(A3,$J$6,$K$6,FALSE)</f>
        <v>3.0935051668734789E-3</v>
      </c>
      <c r="G3">
        <f t="shared" ref="G3:G66" si="1">_xlfn.NORM.DIST(B3,$J$7,$K$7,FALSE)</f>
        <v>2.6199784408699189</v>
      </c>
      <c r="I3" t="s">
        <v>145</v>
      </c>
      <c r="J3">
        <v>1188</v>
      </c>
      <c r="K3">
        <v>396</v>
      </c>
    </row>
    <row r="4" spans="1:11" x14ac:dyDescent="0.3">
      <c r="A4">
        <v>-0.44727658604870157</v>
      </c>
      <c r="B4">
        <v>8.2702184145645868E-3</v>
      </c>
      <c r="F4">
        <f t="shared" si="0"/>
        <v>4.0178077125026636E-3</v>
      </c>
      <c r="G4">
        <f t="shared" si="1"/>
        <v>2.6369047130692045</v>
      </c>
      <c r="I4" t="s">
        <v>146</v>
      </c>
      <c r="J4">
        <v>-0.50573207530646869</v>
      </c>
      <c r="K4">
        <v>5.885157527735517E-3</v>
      </c>
    </row>
    <row r="5" spans="1:11" x14ac:dyDescent="0.3">
      <c r="A5">
        <v>-0.43814827525773126</v>
      </c>
      <c r="B5">
        <v>1.1369336700103616E-2</v>
      </c>
      <c r="F5">
        <f t="shared" si="0"/>
        <v>5.2967850383868849E-3</v>
      </c>
      <c r="G5">
        <f t="shared" si="1"/>
        <v>2.6919515538556786</v>
      </c>
      <c r="I5" t="s">
        <v>147</v>
      </c>
      <c r="J5">
        <v>0.51819985798556445</v>
      </c>
      <c r="K5">
        <v>0.63794783455564952</v>
      </c>
    </row>
    <row r="6" spans="1:11" x14ac:dyDescent="0.3">
      <c r="A6">
        <v>-0.42212317162449153</v>
      </c>
      <c r="B6">
        <v>1.1822279976746784E-2</v>
      </c>
      <c r="F6">
        <f t="shared" si="0"/>
        <v>8.4844182622625282E-3</v>
      </c>
      <c r="G6">
        <f t="shared" si="1"/>
        <v>2.6999218463608683</v>
      </c>
      <c r="I6" t="s">
        <v>148</v>
      </c>
      <c r="J6">
        <v>-7.9802517666298853E-3</v>
      </c>
      <c r="K6">
        <v>0.11983002716188525</v>
      </c>
    </row>
    <row r="7" spans="1:11" x14ac:dyDescent="0.3">
      <c r="A7">
        <v>-0.4201461691801569</v>
      </c>
      <c r="B7">
        <v>1.2408890411032051E-2</v>
      </c>
      <c r="F7">
        <f t="shared" si="0"/>
        <v>8.9810346717112237E-3</v>
      </c>
      <c r="G7">
        <f t="shared" si="1"/>
        <v>2.7102144059287152</v>
      </c>
      <c r="I7" t="s">
        <v>149</v>
      </c>
      <c r="J7">
        <v>9.469051853207798E-2</v>
      </c>
      <c r="K7">
        <v>0.11283040700440482</v>
      </c>
    </row>
    <row r="8" spans="1:11" x14ac:dyDescent="0.3">
      <c r="A8">
        <v>-0.40720766495587668</v>
      </c>
      <c r="B8">
        <v>1.4192520373305229E-2</v>
      </c>
      <c r="F8">
        <f t="shared" si="0"/>
        <v>1.2944504422112542E-2</v>
      </c>
      <c r="G8">
        <f t="shared" si="1"/>
        <v>2.7412960979449057</v>
      </c>
    </row>
    <row r="9" spans="1:11" x14ac:dyDescent="0.3">
      <c r="A9">
        <v>-0.36386162469472083</v>
      </c>
      <c r="B9">
        <v>1.5462548912246044E-2</v>
      </c>
      <c r="F9">
        <f t="shared" si="0"/>
        <v>4.0463079705503412E-2</v>
      </c>
      <c r="G9">
        <f t="shared" si="1"/>
        <v>2.7632238372416533</v>
      </c>
    </row>
    <row r="10" spans="1:11" x14ac:dyDescent="0.3">
      <c r="A10">
        <v>-0.36207538797069105</v>
      </c>
      <c r="B10">
        <v>1.5595072541222228E-2</v>
      </c>
      <c r="F10">
        <f t="shared" si="0"/>
        <v>4.2289938425616833E-2</v>
      </c>
      <c r="G10">
        <f t="shared" si="1"/>
        <v>2.7655018239496774</v>
      </c>
    </row>
    <row r="11" spans="1:11" x14ac:dyDescent="0.3">
      <c r="A11">
        <v>-0.35854212500634119</v>
      </c>
      <c r="B11">
        <v>1.6041562114813324E-2</v>
      </c>
      <c r="F11">
        <f t="shared" si="0"/>
        <v>4.6119869746736153E-2</v>
      </c>
      <c r="G11">
        <f t="shared" si="1"/>
        <v>2.7731623348220484</v>
      </c>
    </row>
    <row r="12" spans="1:11" x14ac:dyDescent="0.3">
      <c r="A12">
        <v>-0.35154382292103037</v>
      </c>
      <c r="B12">
        <v>1.8030615201659397E-2</v>
      </c>
      <c r="F12">
        <f t="shared" si="0"/>
        <v>5.4619602240681277E-2</v>
      </c>
      <c r="G12">
        <f t="shared" si="1"/>
        <v>2.8070134403524478</v>
      </c>
    </row>
    <row r="13" spans="1:11" x14ac:dyDescent="0.3">
      <c r="A13">
        <v>-0.34981370461150618</v>
      </c>
      <c r="B13">
        <v>1.8581889804524115E-2</v>
      </c>
      <c r="F13">
        <f t="shared" si="0"/>
        <v>5.6922116582485936E-2</v>
      </c>
      <c r="G13">
        <f t="shared" si="1"/>
        <v>2.8163134312324063</v>
      </c>
    </row>
    <row r="14" spans="1:11" x14ac:dyDescent="0.3">
      <c r="A14">
        <v>-0.34669357466782458</v>
      </c>
      <c r="B14">
        <v>1.9028865107483101E-2</v>
      </c>
      <c r="F14">
        <f t="shared" si="0"/>
        <v>6.1290339640619397E-2</v>
      </c>
      <c r="G14">
        <f t="shared" si="1"/>
        <v>2.8238270236122678</v>
      </c>
    </row>
    <row r="15" spans="1:11" x14ac:dyDescent="0.3">
      <c r="A15">
        <v>-0.33565191185289223</v>
      </c>
      <c r="B15">
        <v>1.9448197523328603E-2</v>
      </c>
      <c r="F15">
        <f t="shared" si="0"/>
        <v>7.9188698489291831E-2</v>
      </c>
      <c r="G15">
        <f t="shared" si="1"/>
        <v>2.8308537765600366</v>
      </c>
    </row>
    <row r="16" spans="1:11" x14ac:dyDescent="0.3">
      <c r="A16">
        <v>-0.33172674227647292</v>
      </c>
      <c r="B16">
        <v>2.0638806741468969E-2</v>
      </c>
      <c r="F16">
        <f t="shared" si="0"/>
        <v>8.6562596812280762E-2</v>
      </c>
      <c r="G16">
        <f t="shared" si="1"/>
        <v>2.8506856457896737</v>
      </c>
    </row>
    <row r="17" spans="1:7" x14ac:dyDescent="0.3">
      <c r="A17">
        <v>-0.32841054018109617</v>
      </c>
      <c r="B17">
        <v>2.1420536637389579E-2</v>
      </c>
      <c r="F17">
        <f t="shared" si="0"/>
        <v>9.3247076606286991E-2</v>
      </c>
      <c r="G17">
        <f t="shared" si="1"/>
        <v>2.8636089333486927</v>
      </c>
    </row>
    <row r="18" spans="1:7" x14ac:dyDescent="0.3">
      <c r="A18">
        <v>-0.32152361919824202</v>
      </c>
      <c r="B18">
        <v>2.1929519184726159E-2</v>
      </c>
      <c r="F18">
        <f t="shared" si="0"/>
        <v>0.10855801223728924</v>
      </c>
      <c r="G18">
        <f t="shared" si="1"/>
        <v>2.8719806274454207</v>
      </c>
    </row>
    <row r="19" spans="1:7" x14ac:dyDescent="0.3">
      <c r="A19">
        <v>-0.31810831915674953</v>
      </c>
      <c r="B19">
        <v>2.2046771257233127E-2</v>
      </c>
      <c r="F19">
        <f t="shared" si="0"/>
        <v>0.1169157830652381</v>
      </c>
      <c r="G19">
        <f t="shared" si="1"/>
        <v>2.8739043556976624</v>
      </c>
    </row>
    <row r="20" spans="1:7" x14ac:dyDescent="0.3">
      <c r="A20">
        <v>-0.3165785776420762</v>
      </c>
      <c r="B20">
        <v>2.2073359548625403E-2</v>
      </c>
      <c r="F20">
        <f t="shared" si="0"/>
        <v>0.12083324541116351</v>
      </c>
      <c r="G20">
        <f t="shared" si="1"/>
        <v>2.8743403312373936</v>
      </c>
    </row>
    <row r="21" spans="1:7" x14ac:dyDescent="0.3">
      <c r="A21">
        <v>-0.30161372844676038</v>
      </c>
      <c r="B21">
        <v>2.2873417167916979E-2</v>
      </c>
      <c r="F21">
        <f t="shared" si="0"/>
        <v>0.16537691393951248</v>
      </c>
      <c r="G21">
        <f t="shared" si="1"/>
        <v>2.8874150771915073</v>
      </c>
    </row>
    <row r="22" spans="1:7" x14ac:dyDescent="0.3">
      <c r="A22">
        <v>-0.291400781407404</v>
      </c>
      <c r="B22">
        <v>2.3034176616660764E-2</v>
      </c>
      <c r="F22">
        <f t="shared" si="0"/>
        <v>0.20304768201889684</v>
      </c>
      <c r="G22">
        <f t="shared" si="1"/>
        <v>2.8900318840311026</v>
      </c>
    </row>
    <row r="23" spans="1:7" x14ac:dyDescent="0.3">
      <c r="A23">
        <v>-0.29090925742717388</v>
      </c>
      <c r="B23">
        <v>2.3447347916270078E-2</v>
      </c>
      <c r="F23">
        <f t="shared" si="0"/>
        <v>0.20502543724027286</v>
      </c>
      <c r="G23">
        <f t="shared" si="1"/>
        <v>2.8967413021708683</v>
      </c>
    </row>
    <row r="24" spans="1:7" x14ac:dyDescent="0.3">
      <c r="A24">
        <v>-0.27216747694421883</v>
      </c>
      <c r="B24">
        <v>2.3539211964057546E-2</v>
      </c>
      <c r="F24">
        <f t="shared" si="0"/>
        <v>0.29300337722467085</v>
      </c>
      <c r="G24">
        <f t="shared" si="1"/>
        <v>2.8982299010749553</v>
      </c>
    </row>
    <row r="25" spans="1:7" x14ac:dyDescent="0.3">
      <c r="A25">
        <v>-0.26984604473318541</v>
      </c>
      <c r="B25">
        <v>2.37432012787103E-2</v>
      </c>
      <c r="F25">
        <f t="shared" si="0"/>
        <v>0.30573146954693914</v>
      </c>
      <c r="G25">
        <f t="shared" si="1"/>
        <v>2.9015312775611068</v>
      </c>
    </row>
    <row r="26" spans="1:7" x14ac:dyDescent="0.3">
      <c r="A26">
        <v>-0.26805310196016308</v>
      </c>
      <c r="B26">
        <v>2.3847695853500005E-2</v>
      </c>
      <c r="F26">
        <f t="shared" si="0"/>
        <v>0.31585797920516512</v>
      </c>
      <c r="G26">
        <f t="shared" si="1"/>
        <v>2.9032202053921243</v>
      </c>
    </row>
    <row r="27" spans="1:7" x14ac:dyDescent="0.3">
      <c r="A27">
        <v>-0.26713322692418018</v>
      </c>
      <c r="B27">
        <v>2.4199251627559079E-2</v>
      </c>
      <c r="F27">
        <f t="shared" si="0"/>
        <v>0.32115500497561922</v>
      </c>
      <c r="G27">
        <f t="shared" si="1"/>
        <v>2.9088912446785549</v>
      </c>
    </row>
    <row r="28" spans="1:7" x14ac:dyDescent="0.3">
      <c r="A28">
        <v>-0.26511804195403954</v>
      </c>
      <c r="B28">
        <v>2.4230201144923299E-2</v>
      </c>
      <c r="F28">
        <f t="shared" si="0"/>
        <v>0.33300322966178941</v>
      </c>
      <c r="G28">
        <f t="shared" si="1"/>
        <v>2.9093896770345236</v>
      </c>
    </row>
    <row r="29" spans="1:7" x14ac:dyDescent="0.3">
      <c r="A29">
        <v>-0.26043957414981378</v>
      </c>
      <c r="B29">
        <v>2.425556268387899E-2</v>
      </c>
      <c r="F29">
        <f t="shared" si="0"/>
        <v>0.3618282385664604</v>
      </c>
      <c r="G29">
        <f t="shared" si="1"/>
        <v>2.9097980171908424</v>
      </c>
    </row>
    <row r="30" spans="1:7" x14ac:dyDescent="0.3">
      <c r="A30">
        <v>-0.26017842300965555</v>
      </c>
      <c r="B30">
        <v>2.4337484527736888E-2</v>
      </c>
      <c r="F30">
        <f t="shared" si="0"/>
        <v>0.36349251970223112</v>
      </c>
      <c r="G30">
        <f t="shared" si="1"/>
        <v>2.9111164082017935</v>
      </c>
    </row>
    <row r="31" spans="1:7" x14ac:dyDescent="0.3">
      <c r="A31">
        <v>-0.25987863885684703</v>
      </c>
      <c r="B31">
        <v>2.439675645730888E-2</v>
      </c>
      <c r="F31">
        <f t="shared" si="0"/>
        <v>0.36541030386286161</v>
      </c>
      <c r="G31">
        <f t="shared" si="1"/>
        <v>2.9120697031136769</v>
      </c>
    </row>
    <row r="32" spans="1:7" x14ac:dyDescent="0.3">
      <c r="A32">
        <v>-0.25776727344440076</v>
      </c>
      <c r="B32">
        <v>2.4516711360557619E-2</v>
      </c>
      <c r="F32">
        <f t="shared" si="0"/>
        <v>0.37913959595744173</v>
      </c>
      <c r="G32">
        <f t="shared" si="1"/>
        <v>2.9139974821081758</v>
      </c>
    </row>
    <row r="33" spans="1:7" x14ac:dyDescent="0.3">
      <c r="A33">
        <v>-0.25498827721713724</v>
      </c>
      <c r="B33">
        <v>2.4907586165900268E-2</v>
      </c>
      <c r="F33">
        <f t="shared" si="0"/>
        <v>0.3978112954429448</v>
      </c>
      <c r="G33">
        <f t="shared" si="1"/>
        <v>2.9202651359221994</v>
      </c>
    </row>
    <row r="34" spans="1:7" x14ac:dyDescent="0.3">
      <c r="A34">
        <v>-0.25160740417925354</v>
      </c>
      <c r="B34">
        <v>2.5310816270878899E-2</v>
      </c>
      <c r="F34">
        <f t="shared" si="0"/>
        <v>0.42146537812451473</v>
      </c>
      <c r="G34">
        <f t="shared" si="1"/>
        <v>2.9267082263964435</v>
      </c>
    </row>
    <row r="35" spans="1:7" x14ac:dyDescent="0.3">
      <c r="A35">
        <v>-0.25044263860399951</v>
      </c>
      <c r="B35">
        <v>2.5829226997778253E-2</v>
      </c>
      <c r="F35">
        <f t="shared" si="0"/>
        <v>0.42985695261006918</v>
      </c>
      <c r="G35">
        <f t="shared" si="1"/>
        <v>2.9349575680820017</v>
      </c>
    </row>
    <row r="36" spans="1:7" x14ac:dyDescent="0.3">
      <c r="A36">
        <v>-0.24815536791993509</v>
      </c>
      <c r="B36">
        <v>2.6388365255890552E-2</v>
      </c>
      <c r="F36">
        <f t="shared" si="0"/>
        <v>0.44670210850131226</v>
      </c>
      <c r="G36">
        <f t="shared" si="1"/>
        <v>2.9438114017090604</v>
      </c>
    </row>
    <row r="37" spans="1:7" x14ac:dyDescent="0.3">
      <c r="A37">
        <v>-0.24583934481563574</v>
      </c>
      <c r="B37">
        <v>2.6685682331005971E-2</v>
      </c>
      <c r="F37">
        <f t="shared" si="0"/>
        <v>0.46425937038077497</v>
      </c>
      <c r="G37">
        <f t="shared" si="1"/>
        <v>2.9485007374753631</v>
      </c>
    </row>
    <row r="38" spans="1:7" x14ac:dyDescent="0.3">
      <c r="A38">
        <v>-0.23758254182331484</v>
      </c>
      <c r="B38">
        <v>2.6748419198455976E-2</v>
      </c>
      <c r="F38">
        <f t="shared" si="0"/>
        <v>0.53104272584632284</v>
      </c>
      <c r="G38">
        <f t="shared" si="1"/>
        <v>2.9494885713807113</v>
      </c>
    </row>
    <row r="39" spans="1:7" x14ac:dyDescent="0.3">
      <c r="A39">
        <v>-0.23556162102704548</v>
      </c>
      <c r="B39">
        <v>2.7238343606182599E-2</v>
      </c>
      <c r="F39">
        <f t="shared" si="0"/>
        <v>0.54840525332672274</v>
      </c>
      <c r="G39">
        <f t="shared" si="1"/>
        <v>2.9571827033345972</v>
      </c>
    </row>
    <row r="40" spans="1:7" x14ac:dyDescent="0.3">
      <c r="A40">
        <v>-0.23067768347084439</v>
      </c>
      <c r="B40">
        <v>2.7556554675034883E-2</v>
      </c>
      <c r="F40">
        <f t="shared" si="0"/>
        <v>0.59204941729661564</v>
      </c>
      <c r="G40">
        <f t="shared" si="1"/>
        <v>2.9621609540763312</v>
      </c>
    </row>
    <row r="41" spans="1:7" x14ac:dyDescent="0.3">
      <c r="A41">
        <v>-0.22477411760089439</v>
      </c>
      <c r="B41">
        <v>2.7649876808544645E-2</v>
      </c>
      <c r="F41">
        <f t="shared" si="0"/>
        <v>0.64802867867672476</v>
      </c>
      <c r="G41">
        <f t="shared" si="1"/>
        <v>2.9636180499475575</v>
      </c>
    </row>
    <row r="42" spans="1:7" x14ac:dyDescent="0.3">
      <c r="A42">
        <v>-0.21096232228592271</v>
      </c>
      <c r="B42">
        <v>2.8235065936355774E-2</v>
      </c>
      <c r="F42">
        <f t="shared" si="0"/>
        <v>0.79299825894725673</v>
      </c>
      <c r="G42">
        <f t="shared" si="1"/>
        <v>2.9727249622483432</v>
      </c>
    </row>
    <row r="43" spans="1:7" x14ac:dyDescent="0.3">
      <c r="A43">
        <v>-0.20757026988690086</v>
      </c>
      <c r="B43">
        <v>2.8527822279281172E-2</v>
      </c>
      <c r="F43">
        <f t="shared" si="0"/>
        <v>0.83161567987754859</v>
      </c>
      <c r="G43">
        <f t="shared" si="1"/>
        <v>2.9772613780925732</v>
      </c>
    </row>
    <row r="44" spans="1:7" x14ac:dyDescent="0.3">
      <c r="A44">
        <v>-0.20650426102201891</v>
      </c>
      <c r="B44">
        <v>2.8549908936521495E-2</v>
      </c>
      <c r="F44">
        <f t="shared" si="0"/>
        <v>0.8439963041523717</v>
      </c>
      <c r="G44">
        <f t="shared" si="1"/>
        <v>2.977603090121939</v>
      </c>
    </row>
    <row r="45" spans="1:7" x14ac:dyDescent="0.3">
      <c r="A45">
        <v>-0.20523180876489278</v>
      </c>
      <c r="B45">
        <v>2.918050975819032E-2</v>
      </c>
      <c r="F45">
        <f t="shared" si="0"/>
        <v>0.85892710681687956</v>
      </c>
      <c r="G45">
        <f t="shared" si="1"/>
        <v>2.987327654500012</v>
      </c>
    </row>
    <row r="46" spans="1:7" x14ac:dyDescent="0.3">
      <c r="A46">
        <v>-0.2010553832188684</v>
      </c>
      <c r="B46">
        <v>2.9741990854746481E-2</v>
      </c>
      <c r="F46">
        <f t="shared" si="0"/>
        <v>0.90909344503827927</v>
      </c>
      <c r="G46">
        <f t="shared" si="1"/>
        <v>2.9959342829959508</v>
      </c>
    </row>
    <row r="47" spans="1:7" x14ac:dyDescent="0.3">
      <c r="A47">
        <v>-0.19370716565086354</v>
      </c>
      <c r="B47">
        <v>3.0187722616565833E-2</v>
      </c>
      <c r="F47">
        <f t="shared" si="0"/>
        <v>1.0016182930804562</v>
      </c>
      <c r="G47">
        <f t="shared" si="1"/>
        <v>3.0027313608809805</v>
      </c>
    </row>
    <row r="48" spans="1:7" x14ac:dyDescent="0.3">
      <c r="A48">
        <v>-0.19000328315087245</v>
      </c>
      <c r="B48">
        <v>3.0336292176587579E-2</v>
      </c>
      <c r="F48">
        <f t="shared" si="0"/>
        <v>1.0502691668518078</v>
      </c>
      <c r="G48">
        <f t="shared" si="1"/>
        <v>3.0049899403945988</v>
      </c>
    </row>
    <row r="49" spans="1:7" x14ac:dyDescent="0.3">
      <c r="A49">
        <v>-0.18789644278490414</v>
      </c>
      <c r="B49">
        <v>3.0720566951314494E-2</v>
      </c>
      <c r="F49">
        <f t="shared" si="0"/>
        <v>1.0785300124165453</v>
      </c>
      <c r="G49">
        <f t="shared" si="1"/>
        <v>3.0108154202825688</v>
      </c>
    </row>
    <row r="50" spans="1:7" x14ac:dyDescent="0.3">
      <c r="A50">
        <v>-0.18660077681988696</v>
      </c>
      <c r="B50">
        <v>3.0745735530147346E-2</v>
      </c>
      <c r="F50">
        <f t="shared" si="0"/>
        <v>1.0961179482563155</v>
      </c>
      <c r="G50">
        <f t="shared" si="1"/>
        <v>3.0111961427891796</v>
      </c>
    </row>
    <row r="51" spans="1:7" x14ac:dyDescent="0.3">
      <c r="A51">
        <v>-0.18307781010980761</v>
      </c>
      <c r="B51">
        <v>3.0795588120605448E-2</v>
      </c>
      <c r="F51">
        <f t="shared" si="0"/>
        <v>1.1447271166777935</v>
      </c>
      <c r="G51">
        <f t="shared" si="1"/>
        <v>3.0119499575082109</v>
      </c>
    </row>
    <row r="52" spans="1:7" x14ac:dyDescent="0.3">
      <c r="A52">
        <v>-0.17758309671284778</v>
      </c>
      <c r="B52">
        <v>3.110017379582029E-2</v>
      </c>
      <c r="F52">
        <f t="shared" si="0"/>
        <v>1.2227689415283081</v>
      </c>
      <c r="G52">
        <f t="shared" si="1"/>
        <v>3.0165468691028599</v>
      </c>
    </row>
    <row r="53" spans="1:7" x14ac:dyDescent="0.3">
      <c r="A53">
        <v>-0.17728834463684962</v>
      </c>
      <c r="B53">
        <v>3.1254594093885785E-2</v>
      </c>
      <c r="F53">
        <f t="shared" si="0"/>
        <v>1.2270296428651783</v>
      </c>
      <c r="G53">
        <f t="shared" si="1"/>
        <v>3.0188717087443475</v>
      </c>
    </row>
    <row r="54" spans="1:7" x14ac:dyDescent="0.3">
      <c r="A54">
        <v>-0.17563036098204066</v>
      </c>
      <c r="B54">
        <v>3.1305081268680299E-2</v>
      </c>
      <c r="F54">
        <f t="shared" si="0"/>
        <v>1.2511331986645642</v>
      </c>
      <c r="G54">
        <f t="shared" si="1"/>
        <v>3.0196309686048473</v>
      </c>
    </row>
    <row r="55" spans="1:7" x14ac:dyDescent="0.3">
      <c r="A55">
        <v>-0.17523550170786706</v>
      </c>
      <c r="B55">
        <v>3.2421784611911295E-2</v>
      </c>
      <c r="F55">
        <f t="shared" si="0"/>
        <v>1.2569075999682429</v>
      </c>
      <c r="G55">
        <f t="shared" si="1"/>
        <v>3.0363181714602288</v>
      </c>
    </row>
    <row r="56" spans="1:7" x14ac:dyDescent="0.3">
      <c r="A56">
        <v>-0.17439277052375246</v>
      </c>
      <c r="B56">
        <v>3.2498675052211191E-2</v>
      </c>
      <c r="F56">
        <f t="shared" si="0"/>
        <v>1.2692748533736031</v>
      </c>
      <c r="G56">
        <f t="shared" si="1"/>
        <v>3.0374596053203247</v>
      </c>
    </row>
    <row r="57" spans="1:7" x14ac:dyDescent="0.3">
      <c r="A57">
        <v>-0.17318132282480292</v>
      </c>
      <c r="B57">
        <v>3.2541646292962509E-2</v>
      </c>
      <c r="F57">
        <f t="shared" si="0"/>
        <v>1.2871550582610203</v>
      </c>
      <c r="G57">
        <f t="shared" si="1"/>
        <v>3.038097083071035</v>
      </c>
    </row>
    <row r="58" spans="1:7" x14ac:dyDescent="0.3">
      <c r="A58">
        <v>-0.17316862358838137</v>
      </c>
      <c r="B58">
        <v>3.2880279360765416E-2</v>
      </c>
      <c r="F58">
        <f t="shared" si="0"/>
        <v>1.2873431219936979</v>
      </c>
      <c r="G58">
        <f t="shared" si="1"/>
        <v>3.0431099388330343</v>
      </c>
    </row>
    <row r="59" spans="1:7" x14ac:dyDescent="0.3">
      <c r="A59">
        <v>-0.17132297803402707</v>
      </c>
      <c r="B59">
        <v>3.3560232666536176E-2</v>
      </c>
      <c r="F59">
        <f t="shared" si="0"/>
        <v>1.314812614202933</v>
      </c>
      <c r="G59">
        <f t="shared" si="1"/>
        <v>3.0531173700601602</v>
      </c>
    </row>
    <row r="60" spans="1:7" x14ac:dyDescent="0.3">
      <c r="A60">
        <v>-0.16879572242282848</v>
      </c>
      <c r="B60">
        <v>3.3727341489602901E-2</v>
      </c>
      <c r="F60">
        <f t="shared" si="0"/>
        <v>1.3528593894169174</v>
      </c>
      <c r="G60">
        <f t="shared" si="1"/>
        <v>3.0555648943164866</v>
      </c>
    </row>
    <row r="61" spans="1:7" x14ac:dyDescent="0.3">
      <c r="A61">
        <v>-0.16550584852942052</v>
      </c>
      <c r="B61">
        <v>3.4317046877790282E-2</v>
      </c>
      <c r="F61">
        <f t="shared" si="0"/>
        <v>1.4031059378797088</v>
      </c>
      <c r="G61">
        <f t="shared" si="1"/>
        <v>3.0641638691693394</v>
      </c>
    </row>
    <row r="62" spans="1:7" x14ac:dyDescent="0.3">
      <c r="A62">
        <v>-0.16535636469809845</v>
      </c>
      <c r="B62">
        <v>3.4844233470908217E-2</v>
      </c>
      <c r="F62">
        <f t="shared" si="0"/>
        <v>1.4054076678205809</v>
      </c>
      <c r="G62">
        <f t="shared" si="1"/>
        <v>3.071800653339503</v>
      </c>
    </row>
    <row r="63" spans="1:7" x14ac:dyDescent="0.3">
      <c r="A63">
        <v>-0.1623145933140222</v>
      </c>
      <c r="B63">
        <v>3.506071390810786E-2</v>
      </c>
      <c r="F63">
        <f t="shared" si="0"/>
        <v>1.4525822295577644</v>
      </c>
      <c r="G63">
        <f t="shared" si="1"/>
        <v>3.074922639555917</v>
      </c>
    </row>
    <row r="64" spans="1:7" x14ac:dyDescent="0.3">
      <c r="A64">
        <v>-0.15656654016993343</v>
      </c>
      <c r="B64">
        <v>3.5350140956776903E-2</v>
      </c>
      <c r="F64">
        <f t="shared" si="0"/>
        <v>1.5433770803295441</v>
      </c>
      <c r="G64">
        <f t="shared" si="1"/>
        <v>3.0790838801621958</v>
      </c>
    </row>
    <row r="65" spans="1:7" x14ac:dyDescent="0.3">
      <c r="A65">
        <v>-0.15637908444716686</v>
      </c>
      <c r="B65">
        <v>3.5736093303383502E-2</v>
      </c>
      <c r="F65">
        <f t="shared" si="0"/>
        <v>1.546371861849313</v>
      </c>
      <c r="G65">
        <f t="shared" si="1"/>
        <v>3.0846100980146778</v>
      </c>
    </row>
    <row r="66" spans="1:7" x14ac:dyDescent="0.3">
      <c r="A66">
        <v>-0.15583058589004395</v>
      </c>
      <c r="B66">
        <v>3.6129147796232525E-2</v>
      </c>
      <c r="F66">
        <f t="shared" si="0"/>
        <v>1.5551462022025802</v>
      </c>
      <c r="G66">
        <f t="shared" si="1"/>
        <v>3.0902110387016113</v>
      </c>
    </row>
    <row r="67" spans="1:7" x14ac:dyDescent="0.3">
      <c r="A67">
        <v>-0.1499851632713316</v>
      </c>
      <c r="B67">
        <v>3.6169013838787616E-2</v>
      </c>
      <c r="F67">
        <f t="shared" ref="F67:F130" si="2">_xlfn.NORM.DIST(A67,$J$6,$K$6,FALSE)</f>
        <v>1.649656946935917</v>
      </c>
      <c r="G67">
        <f t="shared" ref="G67:G130" si="3">_xlfn.NORM.DIST(B67,$J$7,$K$7,FALSE)</f>
        <v>3.0907775937953983</v>
      </c>
    </row>
    <row r="68" spans="1:7" x14ac:dyDescent="0.3">
      <c r="A68">
        <v>-0.14840333484410451</v>
      </c>
      <c r="B68">
        <v>3.6282474197088285E-2</v>
      </c>
      <c r="F68">
        <f t="shared" si="2"/>
        <v>1.6755201214448778</v>
      </c>
      <c r="G68">
        <f t="shared" si="3"/>
        <v>3.0923884880283072</v>
      </c>
    </row>
    <row r="69" spans="1:7" x14ac:dyDescent="0.3">
      <c r="A69">
        <v>-0.14469880484238118</v>
      </c>
      <c r="B69">
        <v>3.6659531005165676E-2</v>
      </c>
      <c r="F69">
        <f t="shared" si="2"/>
        <v>1.7365031973780785</v>
      </c>
      <c r="G69">
        <f t="shared" si="3"/>
        <v>3.0977254192366948</v>
      </c>
    </row>
    <row r="70" spans="1:7" x14ac:dyDescent="0.3">
      <c r="A70">
        <v>-0.14341121512597965</v>
      </c>
      <c r="B70">
        <v>3.6666668259519128E-2</v>
      </c>
      <c r="F70">
        <f t="shared" si="2"/>
        <v>1.7578214509175638</v>
      </c>
      <c r="G70">
        <f t="shared" si="3"/>
        <v>3.0978261963935361</v>
      </c>
    </row>
    <row r="71" spans="1:7" x14ac:dyDescent="0.3">
      <c r="A71">
        <v>-0.14315494475954438</v>
      </c>
      <c r="B71">
        <v>3.6864368495224807E-2</v>
      </c>
      <c r="F71">
        <f t="shared" si="2"/>
        <v>1.7620712967201762</v>
      </c>
      <c r="G71">
        <f t="shared" si="3"/>
        <v>3.1006140715175361</v>
      </c>
    </row>
    <row r="72" spans="1:7" x14ac:dyDescent="0.3">
      <c r="A72">
        <v>-0.14203365724409878</v>
      </c>
      <c r="B72">
        <v>3.7280244129925998E-2</v>
      </c>
      <c r="F72">
        <f t="shared" si="2"/>
        <v>1.7806914880243518</v>
      </c>
      <c r="G72">
        <f t="shared" si="3"/>
        <v>3.1064556127059366</v>
      </c>
    </row>
    <row r="73" spans="1:7" x14ac:dyDescent="0.3">
      <c r="A73">
        <v>-0.14176455652155084</v>
      </c>
      <c r="B73">
        <v>3.7653079432702269E-2</v>
      </c>
      <c r="F73">
        <f t="shared" si="2"/>
        <v>1.7851661378234922</v>
      </c>
      <c r="G73">
        <f t="shared" si="3"/>
        <v>3.1116660114239174</v>
      </c>
    </row>
    <row r="74" spans="1:7" x14ac:dyDescent="0.3">
      <c r="A74">
        <v>-0.14094266283700563</v>
      </c>
      <c r="B74">
        <v>3.8083285261856011E-2</v>
      </c>
      <c r="F74">
        <f t="shared" si="2"/>
        <v>1.7988462864246106</v>
      </c>
      <c r="G74">
        <f t="shared" si="3"/>
        <v>3.1176467259382949</v>
      </c>
    </row>
    <row r="75" spans="1:7" x14ac:dyDescent="0.3">
      <c r="A75">
        <v>-0.13974403254928802</v>
      </c>
      <c r="B75">
        <v>3.9116189015134514E-2</v>
      </c>
      <c r="F75">
        <f t="shared" si="2"/>
        <v>1.818831848171901</v>
      </c>
      <c r="G75">
        <f t="shared" si="3"/>
        <v>3.1318672149853124</v>
      </c>
    </row>
    <row r="76" spans="1:7" x14ac:dyDescent="0.3">
      <c r="A76">
        <v>-0.13757255873580476</v>
      </c>
      <c r="B76">
        <v>3.9351495692304179E-2</v>
      </c>
      <c r="F76">
        <f t="shared" si="2"/>
        <v>1.8551326934021013</v>
      </c>
      <c r="G76">
        <f t="shared" si="3"/>
        <v>3.1350791127974698</v>
      </c>
    </row>
    <row r="77" spans="1:7" x14ac:dyDescent="0.3">
      <c r="A77">
        <v>-0.1365952028551618</v>
      </c>
      <c r="B77">
        <v>3.970953463692007E-2</v>
      </c>
      <c r="F77">
        <f t="shared" si="2"/>
        <v>1.8715063017846472</v>
      </c>
      <c r="G77">
        <f t="shared" si="3"/>
        <v>3.1399464076570252</v>
      </c>
    </row>
    <row r="78" spans="1:7" x14ac:dyDescent="0.3">
      <c r="A78">
        <v>-0.136574585786569</v>
      </c>
      <c r="B78">
        <v>3.9959161209960251E-2</v>
      </c>
      <c r="F78">
        <f t="shared" si="2"/>
        <v>1.8718519096661561</v>
      </c>
      <c r="G78">
        <f t="shared" si="3"/>
        <v>3.1433256537438066</v>
      </c>
    </row>
    <row r="79" spans="1:7" x14ac:dyDescent="0.3">
      <c r="A79">
        <v>-0.13528567137120717</v>
      </c>
      <c r="B79">
        <v>3.9967206312867459E-2</v>
      </c>
      <c r="F79">
        <f t="shared" si="2"/>
        <v>1.8934741383718214</v>
      </c>
      <c r="G79">
        <f t="shared" si="3"/>
        <v>3.1434343664932514</v>
      </c>
    </row>
    <row r="80" spans="1:7" x14ac:dyDescent="0.3">
      <c r="A80">
        <v>-0.1337394065254216</v>
      </c>
      <c r="B80">
        <v>4.0025997290318471E-2</v>
      </c>
      <c r="F80">
        <f t="shared" si="2"/>
        <v>1.9194503259838565</v>
      </c>
      <c r="G80">
        <f t="shared" si="3"/>
        <v>3.1442284325669951</v>
      </c>
    </row>
    <row r="81" spans="1:7" x14ac:dyDescent="0.3">
      <c r="A81">
        <v>-0.13272308784507914</v>
      </c>
      <c r="B81">
        <v>4.0602962467305534E-2</v>
      </c>
      <c r="F81">
        <f t="shared" si="2"/>
        <v>1.936541940652714</v>
      </c>
      <c r="G81">
        <f t="shared" si="3"/>
        <v>3.1519865114011778</v>
      </c>
    </row>
    <row r="82" spans="1:7" x14ac:dyDescent="0.3">
      <c r="A82">
        <v>-0.13265177592893451</v>
      </c>
      <c r="B82">
        <v>4.0816874630542441E-2</v>
      </c>
      <c r="F82">
        <f t="shared" si="2"/>
        <v>1.9377416710139115</v>
      </c>
      <c r="G82">
        <f t="shared" si="3"/>
        <v>3.1548467495934167</v>
      </c>
    </row>
    <row r="83" spans="1:7" x14ac:dyDescent="0.3">
      <c r="A83">
        <v>-0.13223706144106018</v>
      </c>
      <c r="B83">
        <v>4.0963998779300563E-2</v>
      </c>
      <c r="F83">
        <f t="shared" si="2"/>
        <v>1.9447197988245293</v>
      </c>
      <c r="G83">
        <f t="shared" si="3"/>
        <v>3.1568088800338177</v>
      </c>
    </row>
    <row r="84" spans="1:7" x14ac:dyDescent="0.3">
      <c r="A84">
        <v>-0.13208332699005609</v>
      </c>
      <c r="B84">
        <v>4.1066124754747593E-2</v>
      </c>
      <c r="F84">
        <f t="shared" si="2"/>
        <v>1.9473070411474322</v>
      </c>
      <c r="G84">
        <f t="shared" si="3"/>
        <v>3.1581684496504479</v>
      </c>
    </row>
    <row r="85" spans="1:7" x14ac:dyDescent="0.3">
      <c r="A85">
        <v>-0.13169922922736532</v>
      </c>
      <c r="B85">
        <v>4.1112664775718982E-2</v>
      </c>
      <c r="F85">
        <f t="shared" si="2"/>
        <v>1.9537721343125245</v>
      </c>
      <c r="G85">
        <f t="shared" si="3"/>
        <v>3.1587873575154122</v>
      </c>
    </row>
    <row r="86" spans="1:7" x14ac:dyDescent="0.3">
      <c r="A86">
        <v>-0.13101293894214905</v>
      </c>
      <c r="B86">
        <v>4.1215893136887151E-2</v>
      </c>
      <c r="F86">
        <f t="shared" si="2"/>
        <v>1.9653269126012187</v>
      </c>
      <c r="G86">
        <f t="shared" si="3"/>
        <v>3.1601586436928994</v>
      </c>
    </row>
    <row r="87" spans="1:7" x14ac:dyDescent="0.3">
      <c r="A87">
        <v>-0.13060582515240071</v>
      </c>
      <c r="B87">
        <v>4.1520859442666744E-2</v>
      </c>
      <c r="F87">
        <f t="shared" si="2"/>
        <v>1.9721830119341641</v>
      </c>
      <c r="G87">
        <f t="shared" si="3"/>
        <v>3.164197825713909</v>
      </c>
    </row>
    <row r="88" spans="1:7" x14ac:dyDescent="0.3">
      <c r="A88">
        <v>-0.13046363098442271</v>
      </c>
      <c r="B88">
        <v>4.2335278042726632E-2</v>
      </c>
      <c r="F88">
        <f t="shared" si="2"/>
        <v>1.9745779286756984</v>
      </c>
      <c r="G88">
        <f t="shared" si="3"/>
        <v>3.1748961833175113</v>
      </c>
    </row>
    <row r="89" spans="1:7" x14ac:dyDescent="0.3">
      <c r="A89">
        <v>-0.12892509871500835</v>
      </c>
      <c r="B89">
        <v>4.2395409606064999E-2</v>
      </c>
      <c r="F89">
        <f t="shared" si="2"/>
        <v>2.0004973583212622</v>
      </c>
      <c r="G89">
        <f t="shared" si="3"/>
        <v>3.1756809563494803</v>
      </c>
    </row>
    <row r="90" spans="1:7" x14ac:dyDescent="0.3">
      <c r="A90">
        <v>-0.12850526427854447</v>
      </c>
      <c r="B90">
        <v>4.2429941100708669E-2</v>
      </c>
      <c r="F90">
        <f t="shared" si="2"/>
        <v>2.0075716737903035</v>
      </c>
      <c r="G90">
        <f t="shared" si="3"/>
        <v>3.1761313045021038</v>
      </c>
    </row>
    <row r="91" spans="1:7" x14ac:dyDescent="0.3">
      <c r="A91">
        <v>-0.12758198102814333</v>
      </c>
      <c r="B91">
        <v>4.2679649911894692E-2</v>
      </c>
      <c r="F91">
        <f t="shared" si="2"/>
        <v>2.0231299929480739</v>
      </c>
      <c r="G91">
        <f t="shared" si="3"/>
        <v>3.1793809612198611</v>
      </c>
    </row>
    <row r="92" spans="1:7" x14ac:dyDescent="0.3">
      <c r="A92">
        <v>-0.12621145272078138</v>
      </c>
      <c r="B92">
        <v>4.2739737772458271E-2</v>
      </c>
      <c r="F92">
        <f t="shared" si="2"/>
        <v>2.0462234761325924</v>
      </c>
      <c r="G92">
        <f t="shared" si="3"/>
        <v>3.1801611028320971</v>
      </c>
    </row>
    <row r="93" spans="1:7" x14ac:dyDescent="0.3">
      <c r="A93">
        <v>-0.12571469421529002</v>
      </c>
      <c r="B93">
        <v>4.279285569044021E-2</v>
      </c>
      <c r="F93">
        <f t="shared" si="2"/>
        <v>2.0545924546360332</v>
      </c>
      <c r="G93">
        <f t="shared" si="3"/>
        <v>3.180850159433978</v>
      </c>
    </row>
    <row r="94" spans="1:7" x14ac:dyDescent="0.3">
      <c r="A94">
        <v>-0.12460294738411903</v>
      </c>
      <c r="B94">
        <v>4.3711083548222146E-2</v>
      </c>
      <c r="F94">
        <f t="shared" si="2"/>
        <v>2.0733173759966999</v>
      </c>
      <c r="G94">
        <f t="shared" si="3"/>
        <v>3.1926733847015454</v>
      </c>
    </row>
    <row r="95" spans="1:7" x14ac:dyDescent="0.3">
      <c r="A95">
        <v>-0.12399732976445677</v>
      </c>
      <c r="B95">
        <v>4.4055729910669847E-2</v>
      </c>
      <c r="F95">
        <f t="shared" si="2"/>
        <v>2.0835139127490603</v>
      </c>
      <c r="G95">
        <f t="shared" si="3"/>
        <v>3.197067779775626</v>
      </c>
    </row>
    <row r="96" spans="1:7" x14ac:dyDescent="0.3">
      <c r="A96">
        <v>-0.1222296394616933</v>
      </c>
      <c r="B96">
        <v>4.4181812860459281E-2</v>
      </c>
      <c r="F96">
        <f t="shared" si="2"/>
        <v>2.1132547594806823</v>
      </c>
      <c r="G96">
        <f t="shared" si="3"/>
        <v>3.1986694482104054</v>
      </c>
    </row>
    <row r="97" spans="1:7" x14ac:dyDescent="0.3">
      <c r="A97">
        <v>-0.12064170093893267</v>
      </c>
      <c r="B97">
        <v>4.4229925977331677E-2</v>
      </c>
      <c r="F97">
        <f t="shared" si="2"/>
        <v>2.1399360471130362</v>
      </c>
      <c r="G97">
        <f t="shared" si="3"/>
        <v>3.1992798015410355</v>
      </c>
    </row>
    <row r="98" spans="1:7" x14ac:dyDescent="0.3">
      <c r="A98">
        <v>-0.11997462813906168</v>
      </c>
      <c r="B98">
        <v>4.4424364327955018E-2</v>
      </c>
      <c r="F98">
        <f t="shared" si="2"/>
        <v>2.1511320766160535</v>
      </c>
      <c r="G98">
        <f t="shared" si="3"/>
        <v>3.2017416634976619</v>
      </c>
    </row>
    <row r="99" spans="1:7" x14ac:dyDescent="0.3">
      <c r="A99">
        <v>-0.11878724627291604</v>
      </c>
      <c r="B99">
        <v>4.4437646060214428E-2</v>
      </c>
      <c r="F99">
        <f t="shared" si="2"/>
        <v>2.1710395388124555</v>
      </c>
      <c r="G99">
        <f t="shared" si="3"/>
        <v>3.2019095509985172</v>
      </c>
    </row>
    <row r="100" spans="1:7" x14ac:dyDescent="0.3">
      <c r="A100">
        <v>-0.1151326979879741</v>
      </c>
      <c r="B100">
        <v>4.5070295210547194E-2</v>
      </c>
      <c r="F100">
        <f t="shared" si="2"/>
        <v>2.2320989464198799</v>
      </c>
      <c r="G100">
        <f t="shared" si="3"/>
        <v>3.2098652286188374</v>
      </c>
    </row>
    <row r="101" spans="1:7" x14ac:dyDescent="0.3">
      <c r="A101">
        <v>-0.11337411423301091</v>
      </c>
      <c r="B101">
        <v>4.5138535429922237E-2</v>
      </c>
      <c r="F101">
        <f t="shared" si="2"/>
        <v>2.261340339876087</v>
      </c>
      <c r="G101">
        <f t="shared" si="3"/>
        <v>3.2107185106520704</v>
      </c>
    </row>
    <row r="102" spans="1:7" x14ac:dyDescent="0.3">
      <c r="A102">
        <v>-0.11330058173562918</v>
      </c>
      <c r="B102">
        <v>4.5235932097111659E-2</v>
      </c>
      <c r="F102">
        <f t="shared" si="2"/>
        <v>2.2625607193230577</v>
      </c>
      <c r="G102">
        <f t="shared" si="3"/>
        <v>3.2119347254346198</v>
      </c>
    </row>
    <row r="103" spans="1:7" x14ac:dyDescent="0.3">
      <c r="A103">
        <v>-0.11246187932644602</v>
      </c>
      <c r="B103">
        <v>4.5306740501765648E-2</v>
      </c>
      <c r="F103">
        <f t="shared" si="2"/>
        <v>2.276466248609232</v>
      </c>
      <c r="G103">
        <f t="shared" si="3"/>
        <v>3.2128177127286599</v>
      </c>
    </row>
    <row r="104" spans="1:7" x14ac:dyDescent="0.3">
      <c r="A104">
        <v>-0.11197767627390931</v>
      </c>
      <c r="B104">
        <v>4.5845039290000597E-2</v>
      </c>
      <c r="F104">
        <f t="shared" si="2"/>
        <v>2.2844821682211869</v>
      </c>
      <c r="G104">
        <f t="shared" si="3"/>
        <v>3.219496830156432</v>
      </c>
    </row>
    <row r="105" spans="1:7" x14ac:dyDescent="0.3">
      <c r="A105">
        <v>-0.11192240683192267</v>
      </c>
      <c r="B105">
        <v>4.590100126122211E-2</v>
      </c>
      <c r="F105">
        <f t="shared" si="2"/>
        <v>2.2853965669311718</v>
      </c>
      <c r="G105">
        <f t="shared" si="3"/>
        <v>3.2201877868283568</v>
      </c>
    </row>
    <row r="106" spans="1:7" x14ac:dyDescent="0.3">
      <c r="A106">
        <v>-0.10972188669423844</v>
      </c>
      <c r="B106">
        <v>4.6234222367428537E-2</v>
      </c>
      <c r="F106">
        <f t="shared" si="2"/>
        <v>2.3217003990564864</v>
      </c>
      <c r="G106">
        <f t="shared" si="3"/>
        <v>3.2242886822852981</v>
      </c>
    </row>
    <row r="107" spans="1:7" x14ac:dyDescent="0.3">
      <c r="A107">
        <v>-0.10969560290470781</v>
      </c>
      <c r="B107">
        <v>4.6320693204492384E-2</v>
      </c>
      <c r="F107">
        <f t="shared" si="2"/>
        <v>2.3221327594343628</v>
      </c>
      <c r="G107">
        <f t="shared" si="3"/>
        <v>3.2253491201354372</v>
      </c>
    </row>
    <row r="108" spans="1:7" x14ac:dyDescent="0.3">
      <c r="A108">
        <v>-0.10777155975955566</v>
      </c>
      <c r="B108">
        <v>4.715961178937917E-2</v>
      </c>
      <c r="F108">
        <f t="shared" si="2"/>
        <v>2.3536947794419514</v>
      </c>
      <c r="G108">
        <f t="shared" si="3"/>
        <v>3.235556692931663</v>
      </c>
    </row>
    <row r="109" spans="1:7" x14ac:dyDescent="0.3">
      <c r="A109">
        <v>-0.10746844296122049</v>
      </c>
      <c r="B109">
        <v>4.7188449381419625E-2</v>
      </c>
      <c r="F109">
        <f t="shared" si="2"/>
        <v>2.3586506308627837</v>
      </c>
      <c r="G109">
        <f t="shared" si="3"/>
        <v>3.2359049688164516</v>
      </c>
    </row>
    <row r="110" spans="1:7" x14ac:dyDescent="0.3">
      <c r="A110">
        <v>-0.10699002230167487</v>
      </c>
      <c r="B110">
        <v>4.7426824808023085E-2</v>
      </c>
      <c r="F110">
        <f t="shared" si="2"/>
        <v>2.3664630680337897</v>
      </c>
      <c r="G110">
        <f t="shared" si="3"/>
        <v>3.2387771978732265</v>
      </c>
    </row>
    <row r="111" spans="1:7" x14ac:dyDescent="0.3">
      <c r="A111">
        <v>-0.10669805091197304</v>
      </c>
      <c r="B111">
        <v>4.7545978396626595E-2</v>
      </c>
      <c r="F111">
        <f t="shared" si="2"/>
        <v>2.371224992855423</v>
      </c>
      <c r="G111">
        <f t="shared" si="3"/>
        <v>3.2402084353805605</v>
      </c>
    </row>
    <row r="112" spans="1:7" x14ac:dyDescent="0.3">
      <c r="A112">
        <v>-0.10640270313938061</v>
      </c>
      <c r="B112">
        <v>4.8613910009601378E-2</v>
      </c>
      <c r="F112">
        <f t="shared" si="2"/>
        <v>2.3760373825012486</v>
      </c>
      <c r="G112">
        <f t="shared" si="3"/>
        <v>3.2529024167296452</v>
      </c>
    </row>
    <row r="113" spans="1:7" x14ac:dyDescent="0.3">
      <c r="A113">
        <v>-0.10625605319479803</v>
      </c>
      <c r="B113">
        <v>4.8802497703969105E-2</v>
      </c>
      <c r="F113">
        <f t="shared" si="2"/>
        <v>2.3784251525024174</v>
      </c>
      <c r="G113">
        <f t="shared" si="3"/>
        <v>3.2551189325076879</v>
      </c>
    </row>
    <row r="114" spans="1:7" x14ac:dyDescent="0.3">
      <c r="A114">
        <v>-0.10472930055220786</v>
      </c>
      <c r="B114">
        <v>4.9314749749583227E-2</v>
      </c>
      <c r="F114">
        <f t="shared" si="2"/>
        <v>2.4032130762278907</v>
      </c>
      <c r="G114">
        <f t="shared" si="3"/>
        <v>3.2611011958078819</v>
      </c>
    </row>
    <row r="115" spans="1:7" x14ac:dyDescent="0.3">
      <c r="A115">
        <v>-0.10399532956925839</v>
      </c>
      <c r="B115">
        <v>4.9934803053231169E-2</v>
      </c>
      <c r="F115">
        <f t="shared" si="2"/>
        <v>2.4150818622708368</v>
      </c>
      <c r="G115">
        <f t="shared" si="3"/>
        <v>3.2682669883759958</v>
      </c>
    </row>
    <row r="116" spans="1:7" x14ac:dyDescent="0.3">
      <c r="A116">
        <v>-0.10330440279187769</v>
      </c>
      <c r="B116">
        <v>5.001092623146889E-2</v>
      </c>
      <c r="F116">
        <f t="shared" si="2"/>
        <v>2.4262249764014556</v>
      </c>
      <c r="G116">
        <f t="shared" si="3"/>
        <v>3.2691410040166482</v>
      </c>
    </row>
    <row r="117" spans="1:7" x14ac:dyDescent="0.3">
      <c r="A117">
        <v>-0.1029369519580996</v>
      </c>
      <c r="B117">
        <v>5.1111596971435191E-2</v>
      </c>
      <c r="F117">
        <f t="shared" si="2"/>
        <v>2.4321391335636253</v>
      </c>
      <c r="G117">
        <f t="shared" si="3"/>
        <v>3.2816376690965585</v>
      </c>
    </row>
    <row r="118" spans="1:7" x14ac:dyDescent="0.3">
      <c r="A118">
        <v>-9.9196555475032255E-2</v>
      </c>
      <c r="B118">
        <v>5.1415269704717707E-2</v>
      </c>
      <c r="F118">
        <f t="shared" si="2"/>
        <v>2.4918340627414417</v>
      </c>
      <c r="G118">
        <f t="shared" si="3"/>
        <v>3.2850388502054439</v>
      </c>
    </row>
    <row r="119" spans="1:7" x14ac:dyDescent="0.3">
      <c r="A119">
        <v>-9.9153835148300118E-2</v>
      </c>
      <c r="B119">
        <v>5.1672474592206842E-2</v>
      </c>
      <c r="F119">
        <f t="shared" si="2"/>
        <v>2.492510226740253</v>
      </c>
      <c r="G119">
        <f t="shared" si="3"/>
        <v>3.2879037126013366</v>
      </c>
    </row>
    <row r="120" spans="1:7" x14ac:dyDescent="0.3">
      <c r="A120">
        <v>-9.8531698431145287E-2</v>
      </c>
      <c r="B120">
        <v>5.2000089385443073E-2</v>
      </c>
      <c r="F120">
        <f t="shared" si="2"/>
        <v>2.5023419887630354</v>
      </c>
      <c r="G120">
        <f t="shared" si="3"/>
        <v>3.2915316814043685</v>
      </c>
    </row>
    <row r="121" spans="1:7" x14ac:dyDescent="0.3">
      <c r="A121">
        <v>-9.7977227190995109E-2</v>
      </c>
      <c r="B121">
        <v>5.2400651398778406E-2</v>
      </c>
      <c r="F121">
        <f t="shared" si="2"/>
        <v>2.5110800531678477</v>
      </c>
      <c r="G121">
        <f t="shared" si="3"/>
        <v>3.2959351416271678</v>
      </c>
    </row>
    <row r="122" spans="1:7" x14ac:dyDescent="0.3">
      <c r="A122">
        <v>-9.6569522266975127E-2</v>
      </c>
      <c r="B122">
        <v>5.2681345944046387E-2</v>
      </c>
      <c r="F122">
        <f t="shared" si="2"/>
        <v>2.5331581250229007</v>
      </c>
      <c r="G122">
        <f t="shared" si="3"/>
        <v>3.2989996073742982</v>
      </c>
    </row>
    <row r="123" spans="1:7" x14ac:dyDescent="0.3">
      <c r="A123">
        <v>-9.6332151180590131E-2</v>
      </c>
      <c r="B123">
        <v>5.2887809316391546E-2</v>
      </c>
      <c r="F123">
        <f t="shared" si="2"/>
        <v>2.5368655751460953</v>
      </c>
      <c r="G123">
        <f t="shared" si="3"/>
        <v>3.3012424363248147</v>
      </c>
    </row>
    <row r="124" spans="1:7" x14ac:dyDescent="0.3">
      <c r="A124">
        <v>-9.5643788386951201E-2</v>
      </c>
      <c r="B124">
        <v>5.3013531472486386E-2</v>
      </c>
      <c r="F124">
        <f t="shared" si="2"/>
        <v>2.5475911542168697</v>
      </c>
      <c r="G124">
        <f t="shared" si="3"/>
        <v>3.3026034964365616</v>
      </c>
    </row>
    <row r="125" spans="1:7" x14ac:dyDescent="0.3">
      <c r="A125">
        <v>-9.5051625100609272E-2</v>
      </c>
      <c r="B125">
        <v>5.317946391023589E-2</v>
      </c>
      <c r="F125">
        <f t="shared" si="2"/>
        <v>2.5567865872941509</v>
      </c>
      <c r="G125">
        <f t="shared" si="3"/>
        <v>3.3043944488831314</v>
      </c>
    </row>
    <row r="126" spans="1:7" x14ac:dyDescent="0.3">
      <c r="A126">
        <v>-9.4309426828999676E-2</v>
      </c>
      <c r="B126">
        <v>5.3399373689329593E-2</v>
      </c>
      <c r="F126">
        <f t="shared" si="2"/>
        <v>2.5682701606820908</v>
      </c>
      <c r="G126">
        <f t="shared" si="3"/>
        <v>3.3067584697119652</v>
      </c>
    </row>
    <row r="127" spans="1:7" x14ac:dyDescent="0.3">
      <c r="A127">
        <v>-9.3642194744205653E-2</v>
      </c>
      <c r="B127">
        <v>5.3715022893995018E-2</v>
      </c>
      <c r="F127">
        <f t="shared" si="2"/>
        <v>2.5785534093477311</v>
      </c>
      <c r="G127">
        <f t="shared" si="3"/>
        <v>3.3101326642081816</v>
      </c>
    </row>
    <row r="128" spans="1:7" x14ac:dyDescent="0.3">
      <c r="A128">
        <v>-9.3530024432197933E-2</v>
      </c>
      <c r="B128">
        <v>5.3925099006921245E-2</v>
      </c>
      <c r="F128">
        <f t="shared" si="2"/>
        <v>2.5802783392382969</v>
      </c>
      <c r="G128">
        <f t="shared" si="3"/>
        <v>3.3123658544488968</v>
      </c>
    </row>
    <row r="129" spans="1:7" x14ac:dyDescent="0.3">
      <c r="A129">
        <v>-9.2962774225952671E-2</v>
      </c>
      <c r="B129">
        <v>5.4357752330108637E-2</v>
      </c>
      <c r="F129">
        <f t="shared" si="2"/>
        <v>2.5889843296172277</v>
      </c>
      <c r="G129">
        <f t="shared" si="3"/>
        <v>3.3169336478541465</v>
      </c>
    </row>
    <row r="130" spans="1:7" x14ac:dyDescent="0.3">
      <c r="A130">
        <v>-9.2231535602969927E-2</v>
      </c>
      <c r="B130">
        <v>5.4396467295063977E-2</v>
      </c>
      <c r="F130">
        <f t="shared" si="2"/>
        <v>2.6001645508350202</v>
      </c>
      <c r="G130">
        <f t="shared" si="3"/>
        <v>3.3173403153750929</v>
      </c>
    </row>
    <row r="131" spans="1:7" x14ac:dyDescent="0.3">
      <c r="A131">
        <v>-9.2089240516855853E-2</v>
      </c>
      <c r="B131">
        <v>5.5320338610523399E-2</v>
      </c>
      <c r="F131">
        <f t="shared" ref="F131:F194" si="4">_xlfn.NORM.DIST(A131,$J$6,$K$6,FALSE)</f>
        <v>2.6023345032033052</v>
      </c>
      <c r="G131">
        <f t="shared" ref="G131:G194" si="5">_xlfn.NORM.DIST(B131,$J$7,$K$7,FALSE)</f>
        <v>3.3269433925152017</v>
      </c>
    </row>
    <row r="132" spans="1:7" x14ac:dyDescent="0.3">
      <c r="A132">
        <v>-9.1891929769566172E-2</v>
      </c>
      <c r="B132">
        <v>5.5470022851705186E-2</v>
      </c>
      <c r="F132">
        <f t="shared" si="4"/>
        <v>2.6053403438322649</v>
      </c>
      <c r="G132">
        <f t="shared" si="5"/>
        <v>3.3284808762843165</v>
      </c>
    </row>
    <row r="133" spans="1:7" x14ac:dyDescent="0.3">
      <c r="A133">
        <v>-9.1689911300875337E-2</v>
      </c>
      <c r="B133">
        <v>5.5794656784305549E-2</v>
      </c>
      <c r="F133">
        <f t="shared" si="4"/>
        <v>2.6084141720879526</v>
      </c>
      <c r="G133">
        <f t="shared" si="5"/>
        <v>3.3317976508267044</v>
      </c>
    </row>
    <row r="134" spans="1:7" x14ac:dyDescent="0.3">
      <c r="A134">
        <v>-9.1636756538719055E-2</v>
      </c>
      <c r="B134">
        <v>5.5951924976936469E-2</v>
      </c>
      <c r="F134">
        <f t="shared" si="4"/>
        <v>2.6092223227836824</v>
      </c>
      <c r="G134">
        <f t="shared" si="5"/>
        <v>3.3333957210178875</v>
      </c>
    </row>
    <row r="135" spans="1:7" x14ac:dyDescent="0.3">
      <c r="A135">
        <v>-9.1572127862946218E-2</v>
      </c>
      <c r="B135">
        <v>5.6105519822955016E-2</v>
      </c>
      <c r="F135">
        <f t="shared" si="4"/>
        <v>2.610204565203635</v>
      </c>
      <c r="G135">
        <f t="shared" si="5"/>
        <v>3.3349509506629333</v>
      </c>
    </row>
    <row r="136" spans="1:7" x14ac:dyDescent="0.3">
      <c r="A136">
        <v>-8.9409495379577208E-2</v>
      </c>
      <c r="B136">
        <v>5.6133209409600517E-2</v>
      </c>
      <c r="F136">
        <f t="shared" si="4"/>
        <v>2.6428435570018056</v>
      </c>
      <c r="G136">
        <f t="shared" si="5"/>
        <v>3.3352307421283394</v>
      </c>
    </row>
    <row r="137" spans="1:7" x14ac:dyDescent="0.3">
      <c r="A137">
        <v>-8.9223331081711876E-2</v>
      </c>
      <c r="B137">
        <v>5.6156615444444224E-2</v>
      </c>
      <c r="F137">
        <f t="shared" si="4"/>
        <v>2.6456319193693094</v>
      </c>
      <c r="G137">
        <f t="shared" si="5"/>
        <v>3.3354671117667785</v>
      </c>
    </row>
    <row r="138" spans="1:7" x14ac:dyDescent="0.3">
      <c r="A138">
        <v>-8.9222074032022647E-2</v>
      </c>
      <c r="B138">
        <v>5.6744912405833084E-2</v>
      </c>
      <c r="F138">
        <f t="shared" si="4"/>
        <v>2.6456507357075623</v>
      </c>
      <c r="G138">
        <f t="shared" si="5"/>
        <v>3.3413664029227923</v>
      </c>
    </row>
    <row r="139" spans="1:7" x14ac:dyDescent="0.3">
      <c r="A139">
        <v>-8.8384229237931322E-2</v>
      </c>
      <c r="B139">
        <v>5.7076544425464538E-2</v>
      </c>
      <c r="F139">
        <f t="shared" si="4"/>
        <v>2.6581568862192992</v>
      </c>
      <c r="G139">
        <f t="shared" si="5"/>
        <v>3.3446564454587646</v>
      </c>
    </row>
    <row r="140" spans="1:7" x14ac:dyDescent="0.3">
      <c r="A140">
        <v>-8.8326612763012236E-2</v>
      </c>
      <c r="B140">
        <v>5.7450669775505087E-2</v>
      </c>
      <c r="F140">
        <f t="shared" si="4"/>
        <v>2.6590142949697548</v>
      </c>
      <c r="G140">
        <f t="shared" si="5"/>
        <v>3.3483372197819858</v>
      </c>
    </row>
    <row r="141" spans="1:7" x14ac:dyDescent="0.3">
      <c r="A141">
        <v>-8.7333988396835593E-2</v>
      </c>
      <c r="B141">
        <v>5.7711681101739201E-2</v>
      </c>
      <c r="F141">
        <f t="shared" si="4"/>
        <v>2.6737322899358515</v>
      </c>
      <c r="G141">
        <f t="shared" si="5"/>
        <v>3.3508857202902749</v>
      </c>
    </row>
    <row r="142" spans="1:7" x14ac:dyDescent="0.3">
      <c r="A142">
        <v>-8.6541067691086937E-2</v>
      </c>
      <c r="B142">
        <v>5.7793636120767308E-2</v>
      </c>
      <c r="F142">
        <f t="shared" si="4"/>
        <v>2.6854153238565592</v>
      </c>
      <c r="G142">
        <f t="shared" si="5"/>
        <v>3.3516826246987779</v>
      </c>
    </row>
    <row r="143" spans="1:7" x14ac:dyDescent="0.3">
      <c r="A143">
        <v>-8.6175150720464444E-2</v>
      </c>
      <c r="B143">
        <v>5.8753393975476423E-2</v>
      </c>
      <c r="F143">
        <f t="shared" si="4"/>
        <v>2.6907842801443347</v>
      </c>
      <c r="G143">
        <f t="shared" si="5"/>
        <v>3.3608971457088752</v>
      </c>
    </row>
    <row r="144" spans="1:7" x14ac:dyDescent="0.3">
      <c r="A144">
        <v>-8.5937598990401654E-2</v>
      </c>
      <c r="B144">
        <v>5.8775724203879005E-2</v>
      </c>
      <c r="F144">
        <f t="shared" si="4"/>
        <v>2.6942620794197745</v>
      </c>
      <c r="G144">
        <f t="shared" si="5"/>
        <v>3.3611089418956253</v>
      </c>
    </row>
    <row r="145" spans="1:7" x14ac:dyDescent="0.3">
      <c r="A145">
        <v>-8.40381967329904E-2</v>
      </c>
      <c r="B145">
        <v>5.9213974096173856E-2</v>
      </c>
      <c r="F145">
        <f t="shared" si="4"/>
        <v>2.7218470891415825</v>
      </c>
      <c r="G145">
        <f t="shared" si="5"/>
        <v>3.3652416476838218</v>
      </c>
    </row>
    <row r="146" spans="1:7" x14ac:dyDescent="0.3">
      <c r="A146">
        <v>-8.3001804820810321E-2</v>
      </c>
      <c r="B146">
        <v>5.9376594769367505E-2</v>
      </c>
      <c r="F146">
        <f t="shared" si="4"/>
        <v>2.7367275512697216</v>
      </c>
      <c r="G146">
        <f t="shared" si="5"/>
        <v>3.3667635356140178</v>
      </c>
    </row>
    <row r="147" spans="1:7" x14ac:dyDescent="0.3">
      <c r="A147">
        <v>-8.2623396846299796E-2</v>
      </c>
      <c r="B147">
        <v>5.9513439909601451E-2</v>
      </c>
      <c r="F147">
        <f t="shared" si="4"/>
        <v>2.7421298451198299</v>
      </c>
      <c r="G147">
        <f t="shared" si="5"/>
        <v>3.3680393151932062</v>
      </c>
    </row>
    <row r="148" spans="1:7" x14ac:dyDescent="0.3">
      <c r="A148">
        <v>-8.1400531360250383E-2</v>
      </c>
      <c r="B148">
        <v>5.9684754796775652E-2</v>
      </c>
      <c r="F148">
        <f t="shared" si="4"/>
        <v>2.759472794331657</v>
      </c>
      <c r="G148">
        <f t="shared" si="5"/>
        <v>3.3696301440118184</v>
      </c>
    </row>
    <row r="149" spans="1:7" x14ac:dyDescent="0.3">
      <c r="A149">
        <v>-8.1352589903474382E-2</v>
      </c>
      <c r="B149">
        <v>5.9706908854691612E-2</v>
      </c>
      <c r="F149">
        <f t="shared" si="4"/>
        <v>2.760149085101844</v>
      </c>
      <c r="G149">
        <f t="shared" si="5"/>
        <v>3.3698353540237269</v>
      </c>
    </row>
    <row r="150" spans="1:7" x14ac:dyDescent="0.3">
      <c r="A150">
        <v>-7.9610968813085492E-2</v>
      </c>
      <c r="B150">
        <v>5.9741250844167697E-2</v>
      </c>
      <c r="F150">
        <f t="shared" si="4"/>
        <v>2.7845279216132934</v>
      </c>
      <c r="G150">
        <f t="shared" si="5"/>
        <v>3.3701532270729415</v>
      </c>
    </row>
    <row r="151" spans="1:7" x14ac:dyDescent="0.3">
      <c r="A151">
        <v>-7.8958512476560827E-2</v>
      </c>
      <c r="B151">
        <v>6.0753997875998236E-2</v>
      </c>
      <c r="F151">
        <f t="shared" si="4"/>
        <v>2.7935642565526249</v>
      </c>
      <c r="G151">
        <f t="shared" si="5"/>
        <v>3.3794000612585551</v>
      </c>
    </row>
    <row r="152" spans="1:7" x14ac:dyDescent="0.3">
      <c r="A152">
        <v>-7.8806100541669366E-2</v>
      </c>
      <c r="B152">
        <v>6.1134945032137844E-2</v>
      </c>
      <c r="F152">
        <f t="shared" si="4"/>
        <v>2.795667398454599</v>
      </c>
      <c r="G152">
        <f t="shared" si="5"/>
        <v>3.3828143027493729</v>
      </c>
    </row>
    <row r="153" spans="1:7" x14ac:dyDescent="0.3">
      <c r="A153">
        <v>-7.8452756765928999E-2</v>
      </c>
      <c r="B153">
        <v>6.1632106135938509E-2</v>
      </c>
      <c r="F153">
        <f t="shared" si="4"/>
        <v>2.8005318771112484</v>
      </c>
      <c r="G153">
        <f t="shared" si="5"/>
        <v>3.3872172237518732</v>
      </c>
    </row>
    <row r="154" spans="1:7" x14ac:dyDescent="0.3">
      <c r="A154">
        <v>-7.7571959246480304E-2</v>
      </c>
      <c r="B154">
        <v>6.2411452611624445E-2</v>
      </c>
      <c r="F154">
        <f t="shared" si="4"/>
        <v>2.8125882209815547</v>
      </c>
      <c r="G154">
        <f t="shared" si="5"/>
        <v>3.3939981346255559</v>
      </c>
    </row>
    <row r="155" spans="1:7" x14ac:dyDescent="0.3">
      <c r="A155">
        <v>-7.7462971417958215E-2</v>
      </c>
      <c r="B155">
        <v>6.2416861689327988E-2</v>
      </c>
      <c r="F155">
        <f t="shared" si="4"/>
        <v>2.8140730783410075</v>
      </c>
      <c r="G155">
        <f t="shared" si="5"/>
        <v>3.3940446793064742</v>
      </c>
    </row>
    <row r="156" spans="1:7" x14ac:dyDescent="0.3">
      <c r="A156">
        <v>-7.6168367143168325E-2</v>
      </c>
      <c r="B156">
        <v>6.2875384654876701E-2</v>
      </c>
      <c r="F156">
        <f t="shared" si="4"/>
        <v>2.8315917581308487</v>
      </c>
      <c r="G156">
        <f t="shared" si="5"/>
        <v>3.3979641648175507</v>
      </c>
    </row>
    <row r="157" spans="1:7" x14ac:dyDescent="0.3">
      <c r="A157">
        <v>-7.4563701666875204E-2</v>
      </c>
      <c r="B157">
        <v>6.2916981246689485E-2</v>
      </c>
      <c r="F157">
        <f t="shared" si="4"/>
        <v>2.8529954334563303</v>
      </c>
      <c r="G157">
        <f t="shared" si="5"/>
        <v>3.3983171825702363</v>
      </c>
    </row>
    <row r="158" spans="1:7" x14ac:dyDescent="0.3">
      <c r="A158">
        <v>-7.4252262925028845E-2</v>
      </c>
      <c r="B158">
        <v>6.3048539130102429E-2</v>
      </c>
      <c r="F158">
        <f t="shared" si="4"/>
        <v>2.8571088690949682</v>
      </c>
      <c r="G158">
        <f t="shared" si="5"/>
        <v>3.3994308747566175</v>
      </c>
    </row>
    <row r="159" spans="1:7" x14ac:dyDescent="0.3">
      <c r="A159">
        <v>-7.3974976640897694E-2</v>
      </c>
      <c r="B159">
        <v>6.3174614630956916E-2</v>
      </c>
      <c r="F159">
        <f t="shared" si="4"/>
        <v>2.8607599532748869</v>
      </c>
      <c r="G159">
        <f t="shared" si="5"/>
        <v>3.4004941607407426</v>
      </c>
    </row>
    <row r="160" spans="1:7" x14ac:dyDescent="0.3">
      <c r="A160">
        <v>-7.3671897873747727E-2</v>
      </c>
      <c r="B160">
        <v>6.3211694144033395E-2</v>
      </c>
      <c r="F160">
        <f t="shared" si="4"/>
        <v>2.8647384431955514</v>
      </c>
      <c r="G160">
        <f t="shared" si="5"/>
        <v>3.4008061343654443</v>
      </c>
    </row>
    <row r="161" spans="1:7" x14ac:dyDescent="0.3">
      <c r="A161">
        <v>-7.2658769402144496E-2</v>
      </c>
      <c r="B161">
        <v>6.3267715139329495E-2</v>
      </c>
      <c r="F161">
        <f t="shared" si="4"/>
        <v>2.8779442664556272</v>
      </c>
      <c r="G161">
        <f t="shared" si="5"/>
        <v>3.4012768323384828</v>
      </c>
    </row>
    <row r="162" spans="1:7" x14ac:dyDescent="0.3">
      <c r="A162">
        <v>-7.146098383844901E-2</v>
      </c>
      <c r="B162">
        <v>6.3464386296197731E-2</v>
      </c>
      <c r="F162">
        <f t="shared" si="4"/>
        <v>2.8933687744956522</v>
      </c>
      <c r="G162">
        <f t="shared" si="5"/>
        <v>3.4029231708253262</v>
      </c>
    </row>
    <row r="163" spans="1:7" x14ac:dyDescent="0.3">
      <c r="A163">
        <v>-7.0866146132274821E-2</v>
      </c>
      <c r="B163">
        <v>6.4126856418779146E-2</v>
      </c>
      <c r="F163">
        <f t="shared" si="4"/>
        <v>2.9009517882750178</v>
      </c>
      <c r="G163">
        <f t="shared" si="5"/>
        <v>3.4083983966454525</v>
      </c>
    </row>
    <row r="164" spans="1:7" x14ac:dyDescent="0.3">
      <c r="A164">
        <v>-7.0420216038698413E-2</v>
      </c>
      <c r="B164">
        <v>6.4340862229249812E-2</v>
      </c>
      <c r="F164">
        <f t="shared" si="4"/>
        <v>2.9066025801332391</v>
      </c>
      <c r="G164">
        <f t="shared" si="5"/>
        <v>3.4101438853878543</v>
      </c>
    </row>
    <row r="165" spans="1:7" x14ac:dyDescent="0.3">
      <c r="A165">
        <v>-7.0386894114989218E-2</v>
      </c>
      <c r="B165">
        <v>6.4557170203717235E-2</v>
      </c>
      <c r="F165">
        <f t="shared" si="4"/>
        <v>2.9070236581879731</v>
      </c>
      <c r="G165">
        <f t="shared" si="5"/>
        <v>3.4118965865286004</v>
      </c>
    </row>
    <row r="166" spans="1:7" x14ac:dyDescent="0.3">
      <c r="A166">
        <v>-6.9905123315948003E-2</v>
      </c>
      <c r="B166">
        <v>6.484547867852633E-2</v>
      </c>
      <c r="F166">
        <f t="shared" si="4"/>
        <v>2.9130932843296264</v>
      </c>
      <c r="G166">
        <f t="shared" si="5"/>
        <v>3.4142145854995301</v>
      </c>
    </row>
    <row r="167" spans="1:7" x14ac:dyDescent="0.3">
      <c r="A167">
        <v>-6.9167596563772804E-2</v>
      </c>
      <c r="B167">
        <v>6.4927307526257083E-2</v>
      </c>
      <c r="F167">
        <f t="shared" si="4"/>
        <v>2.9223181221399193</v>
      </c>
      <c r="G167">
        <f t="shared" si="5"/>
        <v>3.4148687137741147</v>
      </c>
    </row>
    <row r="168" spans="1:7" x14ac:dyDescent="0.3">
      <c r="A168">
        <v>-6.8505285157925755E-2</v>
      </c>
      <c r="B168">
        <v>6.5291273912568171E-2</v>
      </c>
      <c r="F168">
        <f t="shared" si="4"/>
        <v>2.9305324650393514</v>
      </c>
      <c r="G168">
        <f t="shared" si="5"/>
        <v>3.4177579485471177</v>
      </c>
    </row>
    <row r="169" spans="1:7" x14ac:dyDescent="0.3">
      <c r="A169">
        <v>-6.849189497088215E-2</v>
      </c>
      <c r="B169">
        <v>6.5888875179790335E-2</v>
      </c>
      <c r="F169">
        <f t="shared" si="4"/>
        <v>2.9306978519421865</v>
      </c>
      <c r="G169">
        <f t="shared" si="5"/>
        <v>3.4224298834169371</v>
      </c>
    </row>
    <row r="170" spans="1:7" x14ac:dyDescent="0.3">
      <c r="A170">
        <v>-6.7721660449024057E-2</v>
      </c>
      <c r="B170">
        <v>6.6268105647385445E-2</v>
      </c>
      <c r="F170">
        <f t="shared" si="4"/>
        <v>2.9401652220432695</v>
      </c>
      <c r="G170">
        <f t="shared" si="5"/>
        <v>3.4253481113174007</v>
      </c>
    </row>
    <row r="171" spans="1:7" x14ac:dyDescent="0.3">
      <c r="A171">
        <v>-6.7719310200288874E-2</v>
      </c>
      <c r="B171">
        <v>6.6342100486962929E-2</v>
      </c>
      <c r="F171">
        <f t="shared" si="4"/>
        <v>2.9401939710793386</v>
      </c>
      <c r="G171">
        <f t="shared" si="5"/>
        <v>3.4259132888898884</v>
      </c>
    </row>
    <row r="172" spans="1:7" x14ac:dyDescent="0.3">
      <c r="A172">
        <v>-6.7534405541312736E-2</v>
      </c>
      <c r="B172">
        <v>6.6612649293928294E-2</v>
      </c>
      <c r="F172">
        <f t="shared" si="4"/>
        <v>2.9424531210092817</v>
      </c>
      <c r="G172">
        <f t="shared" si="5"/>
        <v>3.4279680028103789</v>
      </c>
    </row>
    <row r="173" spans="1:7" x14ac:dyDescent="0.3">
      <c r="A173">
        <v>-6.7369287256042298E-2</v>
      </c>
      <c r="B173">
        <v>6.7810525269858701E-2</v>
      </c>
      <c r="F173">
        <f t="shared" si="4"/>
        <v>2.9444660641111433</v>
      </c>
      <c r="G173">
        <f t="shared" si="5"/>
        <v>3.4368427852805552</v>
      </c>
    </row>
    <row r="174" spans="1:7" x14ac:dyDescent="0.3">
      <c r="A174">
        <v>-6.6807941896058765E-2</v>
      </c>
      <c r="B174">
        <v>6.8449518412067908E-2</v>
      </c>
      <c r="F174">
        <f t="shared" si="4"/>
        <v>2.9512777744056495</v>
      </c>
      <c r="G174">
        <f t="shared" si="5"/>
        <v>3.441427678958394</v>
      </c>
    </row>
    <row r="175" spans="1:7" x14ac:dyDescent="0.3">
      <c r="A175">
        <v>-6.5112482732104127E-2</v>
      </c>
      <c r="B175">
        <v>6.8721989732466154E-2</v>
      </c>
      <c r="F175">
        <f t="shared" si="4"/>
        <v>2.9715514012776176</v>
      </c>
      <c r="G175">
        <f t="shared" si="5"/>
        <v>3.4433509843173336</v>
      </c>
    </row>
    <row r="176" spans="1:7" x14ac:dyDescent="0.3">
      <c r="A176">
        <v>-6.4442907530604998E-2</v>
      </c>
      <c r="B176">
        <v>6.9531134723671742E-2</v>
      </c>
      <c r="F176">
        <f t="shared" si="4"/>
        <v>2.9794319292794769</v>
      </c>
      <c r="G176">
        <f t="shared" si="5"/>
        <v>3.4489503169852274</v>
      </c>
    </row>
    <row r="177" spans="1:7" x14ac:dyDescent="0.3">
      <c r="A177">
        <v>-6.4163894031345592E-2</v>
      </c>
      <c r="B177">
        <v>6.9580672701315807E-2</v>
      </c>
      <c r="F177">
        <f t="shared" si="4"/>
        <v>2.9826944401415609</v>
      </c>
      <c r="G177">
        <f t="shared" si="5"/>
        <v>3.44928765584599</v>
      </c>
    </row>
    <row r="178" spans="1:7" x14ac:dyDescent="0.3">
      <c r="A178">
        <v>-6.3952852344190347E-2</v>
      </c>
      <c r="B178">
        <v>7.0050407272419929E-2</v>
      </c>
      <c r="F178">
        <f t="shared" si="4"/>
        <v>2.9851537776874695</v>
      </c>
      <c r="G178">
        <f t="shared" si="5"/>
        <v>3.4524549738067316</v>
      </c>
    </row>
    <row r="179" spans="1:7" x14ac:dyDescent="0.3">
      <c r="A179">
        <v>-6.3900281021403771E-2</v>
      </c>
      <c r="B179">
        <v>7.1419699335963982E-2</v>
      </c>
      <c r="F179">
        <f t="shared" si="4"/>
        <v>2.9857652830385817</v>
      </c>
      <c r="G179">
        <f t="shared" si="5"/>
        <v>3.4613620678518759</v>
      </c>
    </row>
    <row r="180" spans="1:7" x14ac:dyDescent="0.3">
      <c r="A180">
        <v>-6.3044835364162832E-2</v>
      </c>
      <c r="B180">
        <v>7.2004254793726574E-2</v>
      </c>
      <c r="F180">
        <f t="shared" si="4"/>
        <v>2.9956523533325092</v>
      </c>
      <c r="G180">
        <f t="shared" si="5"/>
        <v>3.4650160972121777</v>
      </c>
    </row>
    <row r="181" spans="1:7" x14ac:dyDescent="0.3">
      <c r="A181">
        <v>-6.292490750509927E-2</v>
      </c>
      <c r="B181">
        <v>7.211495912633184E-2</v>
      </c>
      <c r="F181">
        <f t="shared" si="4"/>
        <v>2.9970288624863084</v>
      </c>
      <c r="G181">
        <f t="shared" si="5"/>
        <v>3.4656980626216529</v>
      </c>
    </row>
    <row r="182" spans="1:7" x14ac:dyDescent="0.3">
      <c r="A182">
        <v>-6.257269043659619E-2</v>
      </c>
      <c r="B182">
        <v>7.2131395717417932E-2</v>
      </c>
      <c r="F182">
        <f t="shared" si="4"/>
        <v>3.0010578227168381</v>
      </c>
      <c r="G182">
        <f t="shared" si="5"/>
        <v>3.4657990429748176</v>
      </c>
    </row>
    <row r="183" spans="1:7" x14ac:dyDescent="0.3">
      <c r="A183">
        <v>-6.2042388954964167E-2</v>
      </c>
      <c r="B183">
        <v>7.2159852708126193E-2</v>
      </c>
      <c r="F183">
        <f t="shared" si="4"/>
        <v>3.0070850790572914</v>
      </c>
      <c r="G183">
        <f t="shared" si="5"/>
        <v>3.4659737052797479</v>
      </c>
    </row>
    <row r="184" spans="1:7" x14ac:dyDescent="0.3">
      <c r="A184">
        <v>-6.1731279311288745E-2</v>
      </c>
      <c r="B184">
        <v>7.2527268729088351E-2</v>
      </c>
      <c r="F184">
        <f t="shared" si="4"/>
        <v>3.0105992534845125</v>
      </c>
      <c r="G184">
        <f t="shared" si="5"/>
        <v>3.468209796461009</v>
      </c>
    </row>
    <row r="185" spans="1:7" x14ac:dyDescent="0.3">
      <c r="A185">
        <v>-6.1603023935351331E-2</v>
      </c>
      <c r="B185">
        <v>7.260711052369119E-2</v>
      </c>
      <c r="F185">
        <f t="shared" si="4"/>
        <v>3.0120432617213142</v>
      </c>
      <c r="G185">
        <f t="shared" si="5"/>
        <v>3.4686910389301437</v>
      </c>
    </row>
    <row r="186" spans="1:7" x14ac:dyDescent="0.3">
      <c r="A186">
        <v>-6.1154684806240311E-2</v>
      </c>
      <c r="B186">
        <v>7.2659673352311313E-2</v>
      </c>
      <c r="F186">
        <f t="shared" si="4"/>
        <v>3.0170693315549943</v>
      </c>
      <c r="G186">
        <f t="shared" si="5"/>
        <v>3.469006947020846</v>
      </c>
    </row>
    <row r="187" spans="1:7" x14ac:dyDescent="0.3">
      <c r="A187">
        <v>-6.0794511282097119E-2</v>
      </c>
      <c r="B187">
        <v>7.2971172377580551E-2</v>
      </c>
      <c r="F187">
        <f t="shared" si="4"/>
        <v>3.021082468467291</v>
      </c>
      <c r="G187">
        <f t="shared" si="5"/>
        <v>3.4708642200229116</v>
      </c>
    </row>
    <row r="188" spans="1:7" x14ac:dyDescent="0.3">
      <c r="A188">
        <v>-6.055469101529809E-2</v>
      </c>
      <c r="B188">
        <v>7.3219017991653534E-2</v>
      </c>
      <c r="F188">
        <f t="shared" si="4"/>
        <v>3.0237424113616687</v>
      </c>
      <c r="G188">
        <f t="shared" si="5"/>
        <v>3.4723237720245472</v>
      </c>
    </row>
    <row r="189" spans="1:7" x14ac:dyDescent="0.3">
      <c r="A189">
        <v>-6.0411350912090711E-2</v>
      </c>
      <c r="B189">
        <v>7.3897109498729754E-2</v>
      </c>
      <c r="F189">
        <f t="shared" si="4"/>
        <v>3.0253275863533196</v>
      </c>
      <c r="G189">
        <f t="shared" si="5"/>
        <v>3.4762344369161275</v>
      </c>
    </row>
    <row r="190" spans="1:7" x14ac:dyDescent="0.3">
      <c r="A190">
        <v>-5.9529470028110154E-2</v>
      </c>
      <c r="B190">
        <v>7.4548016615804111E-2</v>
      </c>
      <c r="F190">
        <f t="shared" si="4"/>
        <v>3.0350029144434107</v>
      </c>
      <c r="G190">
        <f t="shared" si="5"/>
        <v>3.4798742367196436</v>
      </c>
    </row>
    <row r="191" spans="1:7" x14ac:dyDescent="0.3">
      <c r="A191">
        <v>-5.826438991454097E-2</v>
      </c>
      <c r="B191">
        <v>7.5075170485226134E-2</v>
      </c>
      <c r="F191">
        <f t="shared" si="4"/>
        <v>3.0486481283150022</v>
      </c>
      <c r="G191">
        <f t="shared" si="5"/>
        <v>3.4827398678692223</v>
      </c>
    </row>
    <row r="192" spans="1:7" x14ac:dyDescent="0.3">
      <c r="A192">
        <v>-5.8145194578209214E-2</v>
      </c>
      <c r="B192">
        <v>7.5178966480943035E-2</v>
      </c>
      <c r="F192">
        <f t="shared" si="4"/>
        <v>3.0499194098985898</v>
      </c>
      <c r="G192">
        <f t="shared" si="5"/>
        <v>3.4832954258742115</v>
      </c>
    </row>
    <row r="193" spans="1:7" x14ac:dyDescent="0.3">
      <c r="A193">
        <v>-5.7950543785295849E-2</v>
      </c>
      <c r="B193">
        <v>7.5233517086138318E-2</v>
      </c>
      <c r="F193">
        <f t="shared" si="4"/>
        <v>3.0519901115886476</v>
      </c>
      <c r="G193">
        <f t="shared" si="5"/>
        <v>3.4835862564025457</v>
      </c>
    </row>
    <row r="194" spans="1:7" x14ac:dyDescent="0.3">
      <c r="A194">
        <v>-5.7921464093681152E-2</v>
      </c>
      <c r="B194">
        <v>7.551698784593186E-2</v>
      </c>
      <c r="F194">
        <f t="shared" si="4"/>
        <v>3.0522988915256466</v>
      </c>
      <c r="G194">
        <f t="shared" si="5"/>
        <v>3.4850848249640167</v>
      </c>
    </row>
    <row r="195" spans="1:7" x14ac:dyDescent="0.3">
      <c r="A195">
        <v>-5.7433893290124161E-2</v>
      </c>
      <c r="B195">
        <v>7.59361102642689E-2</v>
      </c>
      <c r="F195">
        <f t="shared" ref="F195:F258" si="6">_xlfn.NORM.DIST(A195,$J$6,$K$6,FALSE)</f>
        <v>3.0574539526997353</v>
      </c>
      <c r="G195">
        <f t="shared" ref="G195:G258" si="7">_xlfn.NORM.DIST(B195,$J$7,$K$7,FALSE)</f>
        <v>3.4872613655118174</v>
      </c>
    </row>
    <row r="196" spans="1:7" x14ac:dyDescent="0.3">
      <c r="A196">
        <v>-5.7084497209586971E-2</v>
      </c>
      <c r="B196">
        <v>7.6320027362165116E-2</v>
      </c>
      <c r="F196">
        <f t="shared" si="6"/>
        <v>3.0611222829688818</v>
      </c>
      <c r="G196">
        <f t="shared" si="7"/>
        <v>3.489214024902612</v>
      </c>
    </row>
    <row r="197" spans="1:7" x14ac:dyDescent="0.3">
      <c r="A197">
        <v>-5.6900986118762376E-2</v>
      </c>
      <c r="B197">
        <v>7.6392916905470537E-2</v>
      </c>
      <c r="F197">
        <f t="shared" si="6"/>
        <v>3.0630403088784881</v>
      </c>
      <c r="G197">
        <f t="shared" si="7"/>
        <v>3.4895803120243962</v>
      </c>
    </row>
    <row r="198" spans="1:7" x14ac:dyDescent="0.3">
      <c r="A198">
        <v>-5.669388960073718E-2</v>
      </c>
      <c r="B198">
        <v>7.6821482258025334E-2</v>
      </c>
      <c r="F198">
        <f t="shared" si="6"/>
        <v>3.0651976550142814</v>
      </c>
      <c r="G198">
        <f t="shared" si="7"/>
        <v>3.4917052599159977</v>
      </c>
    </row>
    <row r="199" spans="1:7" x14ac:dyDescent="0.3">
      <c r="A199">
        <v>-5.6422666766735574E-2</v>
      </c>
      <c r="B199">
        <v>7.700318264008249E-2</v>
      </c>
      <c r="F199">
        <f t="shared" si="6"/>
        <v>3.0680114506158573</v>
      </c>
      <c r="G199">
        <f t="shared" si="7"/>
        <v>3.4925913617922038</v>
      </c>
    </row>
    <row r="200" spans="1:7" x14ac:dyDescent="0.3">
      <c r="A200">
        <v>-5.6406525221518677E-2</v>
      </c>
      <c r="B200">
        <v>7.7851015891238953E-2</v>
      </c>
      <c r="F200">
        <f t="shared" si="6"/>
        <v>3.0681784965904328</v>
      </c>
      <c r="G200">
        <f t="shared" si="7"/>
        <v>3.4966091071471452</v>
      </c>
    </row>
    <row r="201" spans="1:7" x14ac:dyDescent="0.3">
      <c r="A201">
        <v>-5.6222823988790083E-2</v>
      </c>
      <c r="B201">
        <v>7.8587770418452552E-2</v>
      </c>
      <c r="F201">
        <f t="shared" si="6"/>
        <v>3.0700763042488162</v>
      </c>
      <c r="G201">
        <f t="shared" si="7"/>
        <v>3.4999437387900216</v>
      </c>
    </row>
    <row r="202" spans="1:7" x14ac:dyDescent="0.3">
      <c r="A202">
        <v>-5.5434123236054234E-2</v>
      </c>
      <c r="B202">
        <v>7.8660454114154094E-2</v>
      </c>
      <c r="F202">
        <f t="shared" si="6"/>
        <v>3.078155473912521</v>
      </c>
      <c r="G202">
        <f t="shared" si="7"/>
        <v>3.5002647974720187</v>
      </c>
    </row>
    <row r="203" spans="1:7" x14ac:dyDescent="0.3">
      <c r="A203">
        <v>-5.5316652182544557E-2</v>
      </c>
      <c r="B203">
        <v>7.8871938569795574E-2</v>
      </c>
      <c r="F203">
        <f t="shared" si="6"/>
        <v>3.0793492093074031</v>
      </c>
      <c r="G203">
        <f t="shared" si="7"/>
        <v>3.5011908709430091</v>
      </c>
    </row>
    <row r="204" spans="1:7" x14ac:dyDescent="0.3">
      <c r="A204">
        <v>-5.5211871636115184E-2</v>
      </c>
      <c r="B204">
        <v>7.9033452799206469E-2</v>
      </c>
      <c r="F204">
        <f t="shared" si="6"/>
        <v>3.0804118770877706</v>
      </c>
      <c r="G204">
        <f t="shared" si="7"/>
        <v>3.5018900079283997</v>
      </c>
    </row>
    <row r="205" spans="1:7" x14ac:dyDescent="0.3">
      <c r="A205">
        <v>-5.4450442198600513E-2</v>
      </c>
      <c r="B205">
        <v>8.1741247973279377E-2</v>
      </c>
      <c r="F205">
        <f t="shared" si="6"/>
        <v>3.088074275123188</v>
      </c>
      <c r="G205">
        <f t="shared" si="7"/>
        <v>3.5125598755332095</v>
      </c>
    </row>
    <row r="206" spans="1:7" x14ac:dyDescent="0.3">
      <c r="A206">
        <v>-5.4264980169591581E-2</v>
      </c>
      <c r="B206">
        <v>8.2535993358470783E-2</v>
      </c>
      <c r="F206">
        <f t="shared" si="6"/>
        <v>3.089924602019265</v>
      </c>
      <c r="G206">
        <f t="shared" si="7"/>
        <v>3.5153133369936249</v>
      </c>
    </row>
    <row r="207" spans="1:7" x14ac:dyDescent="0.3">
      <c r="A207">
        <v>-5.3511717469916675E-2</v>
      </c>
      <c r="B207">
        <v>8.3297942731127853E-2</v>
      </c>
      <c r="F207">
        <f t="shared" si="6"/>
        <v>3.0973749296854036</v>
      </c>
      <c r="G207">
        <f t="shared" si="7"/>
        <v>3.5177913199971051</v>
      </c>
    </row>
    <row r="208" spans="1:7" x14ac:dyDescent="0.3">
      <c r="A208">
        <v>-5.342396058608756E-2</v>
      </c>
      <c r="B208">
        <v>8.40972122649737E-2</v>
      </c>
      <c r="F208">
        <f t="shared" si="6"/>
        <v>3.0982361156169365</v>
      </c>
      <c r="G208">
        <f t="shared" si="7"/>
        <v>3.5202200251692295</v>
      </c>
    </row>
    <row r="209" spans="1:7" x14ac:dyDescent="0.3">
      <c r="A209">
        <v>-5.2152716996715753E-2</v>
      </c>
      <c r="B209">
        <v>8.4145376970470989E-2</v>
      </c>
      <c r="F209">
        <f t="shared" si="6"/>
        <v>3.1105509922895962</v>
      </c>
      <c r="G209">
        <f t="shared" si="7"/>
        <v>3.5203607913056096</v>
      </c>
    </row>
    <row r="210" spans="1:7" x14ac:dyDescent="0.3">
      <c r="A210">
        <v>-5.2123447715075599E-2</v>
      </c>
      <c r="B210">
        <v>8.4193585489545614E-2</v>
      </c>
      <c r="F210">
        <f t="shared" si="6"/>
        <v>3.1108309841123463</v>
      </c>
      <c r="G210">
        <f t="shared" si="7"/>
        <v>3.5205010487327866</v>
      </c>
    </row>
    <row r="211" spans="1:7" x14ac:dyDescent="0.3">
      <c r="A211">
        <v>-5.2042169242213276E-2</v>
      </c>
      <c r="B211">
        <v>8.4377045041593657E-2</v>
      </c>
      <c r="F211">
        <f t="shared" si="6"/>
        <v>3.1116076578345142</v>
      </c>
      <c r="G211">
        <f t="shared" si="7"/>
        <v>3.5210289778638253</v>
      </c>
    </row>
    <row r="212" spans="1:7" x14ac:dyDescent="0.3">
      <c r="A212">
        <v>-5.1912358672325354E-2</v>
      </c>
      <c r="B212">
        <v>8.5101615033671502E-2</v>
      </c>
      <c r="F212">
        <f t="shared" si="6"/>
        <v>3.1128455223937594</v>
      </c>
      <c r="G212">
        <f t="shared" si="7"/>
        <v>3.5230237604973489</v>
      </c>
    </row>
    <row r="213" spans="1:7" x14ac:dyDescent="0.3">
      <c r="A213">
        <v>-5.1584673100752099E-2</v>
      </c>
      <c r="B213">
        <v>8.5153225900544999E-2</v>
      </c>
      <c r="F213">
        <f t="shared" si="6"/>
        <v>3.1159562343851759</v>
      </c>
      <c r="G213">
        <f t="shared" si="7"/>
        <v>3.5231603481509173</v>
      </c>
    </row>
    <row r="214" spans="1:7" x14ac:dyDescent="0.3">
      <c r="A214">
        <v>-5.1561470274123167E-2</v>
      </c>
      <c r="B214">
        <v>8.5609535134633777E-2</v>
      </c>
      <c r="F214">
        <f t="shared" si="6"/>
        <v>3.1161757326988977</v>
      </c>
      <c r="G214">
        <f t="shared" si="7"/>
        <v>3.524336115197404</v>
      </c>
    </row>
    <row r="215" spans="1:7" x14ac:dyDescent="0.3">
      <c r="A215">
        <v>-5.0955398843498756E-2</v>
      </c>
      <c r="B215">
        <v>8.6323759163984909E-2</v>
      </c>
      <c r="F215">
        <f t="shared" si="6"/>
        <v>3.1218731781131539</v>
      </c>
      <c r="G215">
        <f t="shared" si="7"/>
        <v>3.5260614564458912</v>
      </c>
    </row>
    <row r="216" spans="1:7" x14ac:dyDescent="0.3">
      <c r="A216">
        <v>-5.0767072079011655E-2</v>
      </c>
      <c r="B216">
        <v>8.6676708398557692E-2</v>
      </c>
      <c r="F216">
        <f t="shared" si="6"/>
        <v>3.1236294140314196</v>
      </c>
      <c r="G216">
        <f t="shared" si="7"/>
        <v>3.5268622086115635</v>
      </c>
    </row>
    <row r="217" spans="1:7" x14ac:dyDescent="0.3">
      <c r="A217">
        <v>-5.0371156923915805E-2</v>
      </c>
      <c r="B217">
        <v>8.7325965993498414E-2</v>
      </c>
      <c r="F217">
        <f t="shared" si="6"/>
        <v>3.1272995433867448</v>
      </c>
      <c r="G217">
        <f t="shared" si="7"/>
        <v>3.52824551531147</v>
      </c>
    </row>
    <row r="218" spans="1:7" x14ac:dyDescent="0.3">
      <c r="A218">
        <v>-4.9990997916310675E-2</v>
      </c>
      <c r="B218">
        <v>8.7850381616297699E-2</v>
      </c>
      <c r="F218">
        <f t="shared" si="6"/>
        <v>3.1307955080324881</v>
      </c>
      <c r="G218">
        <f t="shared" si="7"/>
        <v>3.52927791386981</v>
      </c>
    </row>
    <row r="219" spans="1:7" x14ac:dyDescent="0.3">
      <c r="A219">
        <v>-4.9466092570241926E-2</v>
      </c>
      <c r="B219">
        <v>8.8372957628816126E-2</v>
      </c>
      <c r="F219">
        <f t="shared" si="6"/>
        <v>3.135577122369027</v>
      </c>
      <c r="G219">
        <f t="shared" si="7"/>
        <v>3.5302311304203773</v>
      </c>
    </row>
    <row r="220" spans="1:7" x14ac:dyDescent="0.3">
      <c r="A220">
        <v>-4.9121619728680344E-2</v>
      </c>
      <c r="B220">
        <v>8.8688663349689043E-2</v>
      </c>
      <c r="F220">
        <f t="shared" si="6"/>
        <v>3.1386863282294657</v>
      </c>
      <c r="G220">
        <f t="shared" si="7"/>
        <v>3.5307704256528214</v>
      </c>
    </row>
    <row r="221" spans="1:7" x14ac:dyDescent="0.3">
      <c r="A221">
        <v>-4.8817977182651712E-2</v>
      </c>
      <c r="B221">
        <v>8.8965681055074533E-2</v>
      </c>
      <c r="F221">
        <f t="shared" si="6"/>
        <v>3.1414080302167271</v>
      </c>
      <c r="G221">
        <f t="shared" si="7"/>
        <v>3.5312209289260217</v>
      </c>
    </row>
    <row r="222" spans="1:7" x14ac:dyDescent="0.3">
      <c r="A222">
        <v>-4.8769969120940004E-2</v>
      </c>
      <c r="B222">
        <v>8.9535692948230119E-2</v>
      </c>
      <c r="F222">
        <f t="shared" si="6"/>
        <v>3.1418367199006156</v>
      </c>
      <c r="G222">
        <f t="shared" si="7"/>
        <v>3.5320811198151159</v>
      </c>
    </row>
    <row r="223" spans="1:7" x14ac:dyDescent="0.3">
      <c r="A223">
        <v>-4.8562362928670666E-2</v>
      </c>
      <c r="B223">
        <v>9.1635416283632753E-2</v>
      </c>
      <c r="F223">
        <f t="shared" si="6"/>
        <v>3.1436854112914525</v>
      </c>
      <c r="G223">
        <f t="shared" si="7"/>
        <v>3.5344733160680932</v>
      </c>
    </row>
    <row r="224" spans="1:7" x14ac:dyDescent="0.3">
      <c r="A224">
        <v>-4.8081212856459388E-2</v>
      </c>
      <c r="B224">
        <v>9.236764037241553E-2</v>
      </c>
      <c r="F224">
        <f t="shared" si="6"/>
        <v>3.1479378133152029</v>
      </c>
      <c r="G224">
        <f t="shared" si="7"/>
        <v>3.535020003657332</v>
      </c>
    </row>
    <row r="225" spans="1:7" x14ac:dyDescent="0.3">
      <c r="A225">
        <v>-4.7621875543995884E-2</v>
      </c>
      <c r="B225">
        <v>9.4084273619191097E-2</v>
      </c>
      <c r="F225">
        <f t="shared" si="6"/>
        <v>3.1519553870459038</v>
      </c>
      <c r="G225">
        <f t="shared" si="7"/>
        <v>3.5357181839623597</v>
      </c>
    </row>
    <row r="226" spans="1:7" x14ac:dyDescent="0.3">
      <c r="A226">
        <v>-4.7263380677392774E-2</v>
      </c>
      <c r="B226">
        <v>9.5388713936389272E-2</v>
      </c>
      <c r="F226">
        <f t="shared" si="6"/>
        <v>3.1550622985113894</v>
      </c>
      <c r="G226">
        <f t="shared" si="7"/>
        <v>3.5357015278906476</v>
      </c>
    </row>
    <row r="227" spans="1:7" x14ac:dyDescent="0.3">
      <c r="A227">
        <v>-4.704168249818963E-2</v>
      </c>
      <c r="B227">
        <v>9.6320860819773674E-2</v>
      </c>
      <c r="F227">
        <f t="shared" si="6"/>
        <v>3.1569710480039976</v>
      </c>
      <c r="G227">
        <f t="shared" si="7"/>
        <v>3.5354001284764585</v>
      </c>
    </row>
    <row r="228" spans="1:7" x14ac:dyDescent="0.3">
      <c r="A228">
        <v>-4.65952767343083E-2</v>
      </c>
      <c r="B228">
        <v>9.6626141022682729E-2</v>
      </c>
      <c r="F228">
        <f t="shared" si="6"/>
        <v>3.1607851358922159</v>
      </c>
      <c r="G228">
        <f t="shared" si="7"/>
        <v>3.5352489734217087</v>
      </c>
    </row>
    <row r="229" spans="1:7" x14ac:dyDescent="0.3">
      <c r="A229">
        <v>-4.6419940417337102E-2</v>
      </c>
      <c r="B229">
        <v>9.7387601164695303E-2</v>
      </c>
      <c r="F229">
        <f t="shared" si="6"/>
        <v>3.1622724644391949</v>
      </c>
      <c r="G229">
        <f t="shared" si="7"/>
        <v>3.5347592065022737</v>
      </c>
    </row>
    <row r="230" spans="1:7" x14ac:dyDescent="0.3">
      <c r="A230">
        <v>-4.6048796293973737E-2</v>
      </c>
      <c r="B230">
        <v>9.7697838205726098E-2</v>
      </c>
      <c r="F230">
        <f t="shared" si="6"/>
        <v>3.1654007288937454</v>
      </c>
      <c r="G230">
        <f t="shared" si="7"/>
        <v>3.5345135285222962</v>
      </c>
    </row>
    <row r="231" spans="1:7" x14ac:dyDescent="0.3">
      <c r="A231">
        <v>-4.5772748142326236E-2</v>
      </c>
      <c r="B231">
        <v>9.8275368758293777E-2</v>
      </c>
      <c r="F231">
        <f t="shared" si="6"/>
        <v>3.1677097578524149</v>
      </c>
      <c r="G231">
        <f t="shared" si="7"/>
        <v>3.5339850610877175</v>
      </c>
    </row>
    <row r="232" spans="1:7" x14ac:dyDescent="0.3">
      <c r="A232">
        <v>-4.5327196959078719E-2</v>
      </c>
      <c r="B232">
        <v>9.8421081418576861E-2</v>
      </c>
      <c r="F232">
        <f t="shared" si="6"/>
        <v>3.1714046587880862</v>
      </c>
      <c r="G232">
        <f t="shared" si="7"/>
        <v>3.5338371129656636</v>
      </c>
    </row>
    <row r="233" spans="1:7" x14ac:dyDescent="0.3">
      <c r="A233">
        <v>-4.4850354962704841E-2</v>
      </c>
      <c r="B233">
        <v>9.8943969752756683E-2</v>
      </c>
      <c r="F233">
        <f t="shared" si="6"/>
        <v>3.1753151934792028</v>
      </c>
      <c r="G233">
        <f t="shared" si="7"/>
        <v>3.5332577391458311</v>
      </c>
    </row>
    <row r="234" spans="1:7" x14ac:dyDescent="0.3">
      <c r="A234">
        <v>-4.4545365114089464E-2</v>
      </c>
      <c r="B234">
        <v>9.9034233775288527E-2</v>
      </c>
      <c r="F234">
        <f t="shared" si="6"/>
        <v>3.1777925280005919</v>
      </c>
      <c r="G234">
        <f t="shared" si="7"/>
        <v>3.533150053847641</v>
      </c>
    </row>
    <row r="235" spans="1:7" x14ac:dyDescent="0.3">
      <c r="A235">
        <v>-4.2700185065775997E-2</v>
      </c>
      <c r="B235">
        <v>9.9988756311916491E-2</v>
      </c>
      <c r="F235">
        <f t="shared" si="6"/>
        <v>3.1923805481417058</v>
      </c>
      <c r="G235">
        <f t="shared" si="7"/>
        <v>3.5318731667873022</v>
      </c>
    </row>
    <row r="236" spans="1:7" x14ac:dyDescent="0.3">
      <c r="A236">
        <v>-4.2694533641792987E-2</v>
      </c>
      <c r="B236">
        <v>0.10023398031636506</v>
      </c>
      <c r="F236">
        <f t="shared" si="6"/>
        <v>3.1924241683497945</v>
      </c>
      <c r="G236">
        <f t="shared" si="7"/>
        <v>3.5315043926391869</v>
      </c>
    </row>
    <row r="237" spans="1:7" x14ac:dyDescent="0.3">
      <c r="A237">
        <v>-4.2508359833391296E-2</v>
      </c>
      <c r="B237">
        <v>0.10151667473127238</v>
      </c>
      <c r="F237">
        <f t="shared" si="6"/>
        <v>3.1938575022992062</v>
      </c>
      <c r="G237">
        <f t="shared" si="7"/>
        <v>3.52930439797754</v>
      </c>
    </row>
    <row r="238" spans="1:7" x14ac:dyDescent="0.3">
      <c r="A238">
        <v>-4.229252718096177E-2</v>
      </c>
      <c r="B238">
        <v>0.10196620459159815</v>
      </c>
      <c r="F238">
        <f t="shared" si="6"/>
        <v>3.195510327793686</v>
      </c>
      <c r="G238">
        <f t="shared" si="7"/>
        <v>3.5284258061742491</v>
      </c>
    </row>
    <row r="239" spans="1:7" x14ac:dyDescent="0.3">
      <c r="A239">
        <v>-4.2263556469606556E-2</v>
      </c>
      <c r="B239">
        <v>0.10312014339984663</v>
      </c>
      <c r="F239">
        <f t="shared" si="6"/>
        <v>3.1957314585916117</v>
      </c>
      <c r="G239">
        <f t="shared" si="7"/>
        <v>3.5259152297254324</v>
      </c>
    </row>
    <row r="240" spans="1:7" x14ac:dyDescent="0.3">
      <c r="A240">
        <v>-4.2223827927045932E-2</v>
      </c>
      <c r="B240">
        <v>0.10334977040338987</v>
      </c>
      <c r="F240">
        <f t="shared" si="6"/>
        <v>3.1960344240731704</v>
      </c>
      <c r="G240">
        <f t="shared" si="7"/>
        <v>3.5253718635856646</v>
      </c>
    </row>
    <row r="241" spans="1:7" x14ac:dyDescent="0.3">
      <c r="A241">
        <v>-4.1492536786449818E-2</v>
      </c>
      <c r="B241">
        <v>0.10535502775897619</v>
      </c>
      <c r="F241">
        <f t="shared" si="6"/>
        <v>3.2015534448189857</v>
      </c>
      <c r="G241">
        <f t="shared" si="7"/>
        <v>3.5200107627337927</v>
      </c>
    </row>
    <row r="242" spans="1:7" x14ac:dyDescent="0.3">
      <c r="A242">
        <v>-4.1045517327688685E-2</v>
      </c>
      <c r="B242">
        <v>0.10979017128049336</v>
      </c>
      <c r="F242">
        <f t="shared" si="6"/>
        <v>3.2048729911880618</v>
      </c>
      <c r="G242">
        <f t="shared" si="7"/>
        <v>3.5042487665289004</v>
      </c>
    </row>
    <row r="243" spans="1:7" x14ac:dyDescent="0.3">
      <c r="A243">
        <v>-4.1025642771110427E-2</v>
      </c>
      <c r="B243">
        <v>0.11026344723004636</v>
      </c>
      <c r="F243">
        <f t="shared" si="6"/>
        <v>3.2050196230553167</v>
      </c>
      <c r="G243">
        <f t="shared" si="7"/>
        <v>3.502251419218382</v>
      </c>
    </row>
    <row r="244" spans="1:7" x14ac:dyDescent="0.3">
      <c r="A244">
        <v>-4.0615352939369131E-2</v>
      </c>
      <c r="B244">
        <v>0.11126404144828976</v>
      </c>
      <c r="F244">
        <f t="shared" si="6"/>
        <v>3.2080284714841509</v>
      </c>
      <c r="G244">
        <f t="shared" si="7"/>
        <v>3.497829795808757</v>
      </c>
    </row>
    <row r="245" spans="1:7" x14ac:dyDescent="0.3">
      <c r="A245">
        <v>-4.0166058067171662E-2</v>
      </c>
      <c r="B245">
        <v>0.11152243737455074</v>
      </c>
      <c r="F245">
        <f t="shared" si="6"/>
        <v>3.2112834168360709</v>
      </c>
      <c r="G245">
        <f t="shared" si="7"/>
        <v>3.4966441754853128</v>
      </c>
    </row>
    <row r="246" spans="1:7" x14ac:dyDescent="0.3">
      <c r="A246">
        <v>-3.9922901048001336E-2</v>
      </c>
      <c r="B246">
        <v>0.11183346450106468</v>
      </c>
      <c r="F246">
        <f t="shared" si="6"/>
        <v>3.2130275226385088</v>
      </c>
      <c r="G246">
        <f t="shared" si="7"/>
        <v>3.4951932836995749</v>
      </c>
    </row>
    <row r="247" spans="1:7" x14ac:dyDescent="0.3">
      <c r="A247">
        <v>-3.9905934833541323E-2</v>
      </c>
      <c r="B247">
        <v>0.11208793061611397</v>
      </c>
      <c r="F247">
        <f t="shared" si="6"/>
        <v>3.2131487587104792</v>
      </c>
      <c r="G247">
        <f t="shared" si="7"/>
        <v>3.4939869409203355</v>
      </c>
    </row>
    <row r="248" spans="1:7" x14ac:dyDescent="0.3">
      <c r="A248">
        <v>-3.8986573575812145E-2</v>
      </c>
      <c r="B248">
        <v>0.11245687038083887</v>
      </c>
      <c r="F248">
        <f t="shared" si="6"/>
        <v>3.2196286069306708</v>
      </c>
      <c r="G248">
        <f t="shared" si="7"/>
        <v>3.4922071083229067</v>
      </c>
    </row>
    <row r="249" spans="1:7" x14ac:dyDescent="0.3">
      <c r="A249">
        <v>-3.8690023771550841E-2</v>
      </c>
      <c r="B249">
        <v>0.1126621100464277</v>
      </c>
      <c r="F249">
        <f t="shared" si="6"/>
        <v>3.2216810869166697</v>
      </c>
      <c r="G249">
        <f t="shared" si="7"/>
        <v>3.4912012287520624</v>
      </c>
    </row>
    <row r="250" spans="1:7" x14ac:dyDescent="0.3">
      <c r="A250">
        <v>-3.8656538835084575E-2</v>
      </c>
      <c r="B250">
        <v>0.11345270565618282</v>
      </c>
      <c r="F250">
        <f t="shared" si="6"/>
        <v>3.2219116851686644</v>
      </c>
      <c r="G250">
        <f t="shared" si="7"/>
        <v>3.4872213950770328</v>
      </c>
    </row>
    <row r="251" spans="1:7" x14ac:dyDescent="0.3">
      <c r="A251">
        <v>-3.8639202895097924E-2</v>
      </c>
      <c r="B251">
        <v>0.1144315594606624</v>
      </c>
      <c r="F251">
        <f t="shared" si="6"/>
        <v>3.2220309789518771</v>
      </c>
      <c r="G251">
        <f t="shared" si="7"/>
        <v>3.4820632827033631</v>
      </c>
    </row>
    <row r="252" spans="1:7" x14ac:dyDescent="0.3">
      <c r="A252">
        <v>-3.8075519619496845E-2</v>
      </c>
      <c r="B252">
        <v>0.11577983041802496</v>
      </c>
      <c r="F252">
        <f t="shared" si="6"/>
        <v>3.2258754709499731</v>
      </c>
      <c r="G252">
        <f t="shared" si="7"/>
        <v>3.4745428079963352</v>
      </c>
    </row>
    <row r="253" spans="1:7" x14ac:dyDescent="0.3">
      <c r="A253">
        <v>-3.8018867242366028E-2</v>
      </c>
      <c r="B253">
        <v>0.11674726151357191</v>
      </c>
      <c r="F253">
        <f t="shared" si="6"/>
        <v>3.2262581629949016</v>
      </c>
      <c r="G253">
        <f t="shared" si="7"/>
        <v>3.4688513890141195</v>
      </c>
    </row>
    <row r="254" spans="1:7" x14ac:dyDescent="0.3">
      <c r="A254">
        <v>-3.8001475908913562E-2</v>
      </c>
      <c r="B254">
        <v>0.11731554627856178</v>
      </c>
      <c r="F254">
        <f t="shared" si="6"/>
        <v>3.2263755074988358</v>
      </c>
      <c r="G254">
        <f t="shared" si="7"/>
        <v>3.4653937214076076</v>
      </c>
    </row>
    <row r="255" spans="1:7" x14ac:dyDescent="0.3">
      <c r="A255">
        <v>-3.7993566887053021E-2</v>
      </c>
      <c r="B255">
        <v>0.11750691685739238</v>
      </c>
      <c r="F255">
        <f t="shared" si="6"/>
        <v>3.2264288509548167</v>
      </c>
      <c r="G255">
        <f t="shared" si="7"/>
        <v>3.4642103440950236</v>
      </c>
    </row>
    <row r="256" spans="1:7" x14ac:dyDescent="0.3">
      <c r="A256">
        <v>-3.7905140237455726E-2</v>
      </c>
      <c r="B256">
        <v>0.11964452850434443</v>
      </c>
      <c r="F256">
        <f t="shared" si="6"/>
        <v>3.2270243591608767</v>
      </c>
      <c r="G256">
        <f t="shared" si="7"/>
        <v>3.450344729723346</v>
      </c>
    </row>
    <row r="257" spans="1:7" x14ac:dyDescent="0.3">
      <c r="A257">
        <v>-3.7325133708009162E-2</v>
      </c>
      <c r="B257">
        <v>0.12006246579228587</v>
      </c>
      <c r="F257">
        <f t="shared" si="6"/>
        <v>3.2308895150781445</v>
      </c>
      <c r="G257">
        <f t="shared" si="7"/>
        <v>3.4474956540834567</v>
      </c>
    </row>
    <row r="258" spans="1:7" x14ac:dyDescent="0.3">
      <c r="A258">
        <v>-3.711700308770105E-2</v>
      </c>
      <c r="B258">
        <v>0.12057443878264644</v>
      </c>
      <c r="F258">
        <f t="shared" si="6"/>
        <v>3.232259160987152</v>
      </c>
      <c r="G258">
        <f t="shared" si="7"/>
        <v>3.4439443465840762</v>
      </c>
    </row>
    <row r="259" spans="1:7" x14ac:dyDescent="0.3">
      <c r="A259">
        <v>-3.7011469992592083E-2</v>
      </c>
      <c r="B259">
        <v>0.12125456286227963</v>
      </c>
      <c r="F259">
        <f t="shared" ref="F259:F322" si="8">_xlfn.NORM.DIST(A259,$J$6,$K$6,FALSE)</f>
        <v>3.2329501384144441</v>
      </c>
      <c r="G259">
        <f t="shared" ref="G259:G322" si="9">_xlfn.NORM.DIST(B259,$J$7,$K$7,FALSE)</f>
        <v>3.4391227993663986</v>
      </c>
    </row>
    <row r="260" spans="1:7" x14ac:dyDescent="0.3">
      <c r="A260">
        <v>-3.689954568305609E-2</v>
      </c>
      <c r="B260">
        <v>0.12178998698100207</v>
      </c>
      <c r="F260">
        <f t="shared" si="8"/>
        <v>3.233680383161103</v>
      </c>
      <c r="G260">
        <f t="shared" si="9"/>
        <v>3.4352439994033341</v>
      </c>
    </row>
    <row r="261" spans="1:7" x14ac:dyDescent="0.3">
      <c r="A261">
        <v>-3.675966127218544E-2</v>
      </c>
      <c r="B261">
        <v>0.12186340718845265</v>
      </c>
      <c r="F261">
        <f t="shared" si="8"/>
        <v>3.2345893168119666</v>
      </c>
      <c r="G261">
        <f t="shared" si="9"/>
        <v>3.4347064286995765</v>
      </c>
    </row>
    <row r="262" spans="1:7" x14ac:dyDescent="0.3">
      <c r="A262">
        <v>-3.6420770941049341E-2</v>
      </c>
      <c r="B262">
        <v>0.12268373313194197</v>
      </c>
      <c r="F262">
        <f t="shared" si="8"/>
        <v>3.2367741131406813</v>
      </c>
      <c r="G262">
        <f t="shared" si="9"/>
        <v>3.428607126104132</v>
      </c>
    </row>
    <row r="263" spans="1:7" x14ac:dyDescent="0.3">
      <c r="A263">
        <v>-3.6320480661061083E-2</v>
      </c>
      <c r="B263">
        <v>0.12325399735383631</v>
      </c>
      <c r="F263">
        <f t="shared" si="8"/>
        <v>3.2374159935090816</v>
      </c>
      <c r="G263">
        <f t="shared" si="9"/>
        <v>3.4242668183977205</v>
      </c>
    </row>
    <row r="264" spans="1:7" x14ac:dyDescent="0.3">
      <c r="A264">
        <v>-3.6240202005899391E-2</v>
      </c>
      <c r="B264">
        <v>0.12340446410277658</v>
      </c>
      <c r="F264">
        <f t="shared" si="8"/>
        <v>3.2379282523329365</v>
      </c>
      <c r="G264">
        <f t="shared" si="9"/>
        <v>3.4231079454869073</v>
      </c>
    </row>
    <row r="265" spans="1:7" x14ac:dyDescent="0.3">
      <c r="A265">
        <v>-3.6232496599950537E-2</v>
      </c>
      <c r="B265">
        <v>0.12340759604780958</v>
      </c>
      <c r="F265">
        <f t="shared" si="8"/>
        <v>3.2379773484225667</v>
      </c>
      <c r="G265">
        <f t="shared" si="9"/>
        <v>3.4230837631960895</v>
      </c>
    </row>
    <row r="266" spans="1:7" x14ac:dyDescent="0.3">
      <c r="A266">
        <v>-3.560012798193668E-2</v>
      </c>
      <c r="B266">
        <v>0.12396190681045786</v>
      </c>
      <c r="F266">
        <f t="shared" si="8"/>
        <v>3.2419634204548795</v>
      </c>
      <c r="G266">
        <f t="shared" si="9"/>
        <v>3.4187650332963369</v>
      </c>
    </row>
    <row r="267" spans="1:7" x14ac:dyDescent="0.3">
      <c r="A267">
        <v>-3.5565186256008019E-2</v>
      </c>
      <c r="B267">
        <v>0.12399460732189072</v>
      </c>
      <c r="F267">
        <f t="shared" si="8"/>
        <v>3.2421811827386207</v>
      </c>
      <c r="G267">
        <f t="shared" si="9"/>
        <v>3.4185078510460896</v>
      </c>
    </row>
    <row r="268" spans="1:7" x14ac:dyDescent="0.3">
      <c r="A268">
        <v>-3.528753570748222E-2</v>
      </c>
      <c r="B268">
        <v>0.12421713023460142</v>
      </c>
      <c r="F268">
        <f t="shared" si="8"/>
        <v>3.243902260659294</v>
      </c>
      <c r="G268">
        <f t="shared" si="9"/>
        <v>3.4167506502600724</v>
      </c>
    </row>
    <row r="269" spans="1:7" x14ac:dyDescent="0.3">
      <c r="A269">
        <v>-3.4863357513984283E-2</v>
      </c>
      <c r="B269">
        <v>0.12423781552398319</v>
      </c>
      <c r="F269">
        <f t="shared" si="8"/>
        <v>3.2464997326826004</v>
      </c>
      <c r="G269">
        <f t="shared" si="9"/>
        <v>3.416586675174011</v>
      </c>
    </row>
    <row r="270" spans="1:7" x14ac:dyDescent="0.3">
      <c r="A270">
        <v>-3.4774674551044882E-2</v>
      </c>
      <c r="B270">
        <v>0.12572523907460462</v>
      </c>
      <c r="F270">
        <f t="shared" si="8"/>
        <v>3.2470379067420905</v>
      </c>
      <c r="G270">
        <f t="shared" si="9"/>
        <v>3.4045163147466515</v>
      </c>
    </row>
    <row r="271" spans="1:7" x14ac:dyDescent="0.3">
      <c r="A271">
        <v>-3.4175168209614526E-2</v>
      </c>
      <c r="B271">
        <v>0.12806872221452448</v>
      </c>
      <c r="F271">
        <f t="shared" si="8"/>
        <v>3.2506316624862297</v>
      </c>
      <c r="G271">
        <f t="shared" si="9"/>
        <v>3.3843919945199277</v>
      </c>
    </row>
    <row r="272" spans="1:7" x14ac:dyDescent="0.3">
      <c r="A272">
        <v>-3.4164467144478294E-2</v>
      </c>
      <c r="B272">
        <v>0.12905663366386222</v>
      </c>
      <c r="F272">
        <f t="shared" si="8"/>
        <v>3.250695107280225</v>
      </c>
      <c r="G272">
        <f t="shared" si="9"/>
        <v>3.375507788817504</v>
      </c>
    </row>
    <row r="273" spans="1:7" x14ac:dyDescent="0.3">
      <c r="A273">
        <v>-3.3066843378833255E-2</v>
      </c>
      <c r="B273">
        <v>0.13000989701045659</v>
      </c>
      <c r="F273">
        <f t="shared" si="8"/>
        <v>3.2570713401179341</v>
      </c>
      <c r="G273">
        <f t="shared" si="9"/>
        <v>3.3667125897828387</v>
      </c>
    </row>
    <row r="274" spans="1:7" x14ac:dyDescent="0.3">
      <c r="A274">
        <v>-3.3052132110749977E-2</v>
      </c>
      <c r="B274">
        <v>0.13242926477817485</v>
      </c>
      <c r="F274">
        <f t="shared" si="8"/>
        <v>3.2571550286492958</v>
      </c>
      <c r="G274">
        <f t="shared" si="9"/>
        <v>3.3434216199693974</v>
      </c>
    </row>
    <row r="275" spans="1:7" x14ac:dyDescent="0.3">
      <c r="A275">
        <v>-3.3052129207199243E-2</v>
      </c>
      <c r="B275">
        <v>0.13243368619188495</v>
      </c>
      <c r="F275">
        <f t="shared" si="8"/>
        <v>3.257155045162198</v>
      </c>
      <c r="G275">
        <f t="shared" si="9"/>
        <v>3.3433777961674549</v>
      </c>
    </row>
    <row r="276" spans="1:7" x14ac:dyDescent="0.3">
      <c r="A276">
        <v>-3.2986919410518567E-2</v>
      </c>
      <c r="B276">
        <v>0.13276852053238247</v>
      </c>
      <c r="F276">
        <f t="shared" si="8"/>
        <v>3.2575254412255781</v>
      </c>
      <c r="G276">
        <f t="shared" si="9"/>
        <v>3.3400457798309104</v>
      </c>
    </row>
    <row r="277" spans="1:7" x14ac:dyDescent="0.3">
      <c r="A277">
        <v>-3.2802341357523801E-2</v>
      </c>
      <c r="B277">
        <v>0.13299240266944912</v>
      </c>
      <c r="F277">
        <f t="shared" si="8"/>
        <v>3.2585688540400044</v>
      </c>
      <c r="G277">
        <f t="shared" si="9"/>
        <v>3.3378033300032279</v>
      </c>
    </row>
    <row r="278" spans="1:7" x14ac:dyDescent="0.3">
      <c r="A278">
        <v>-3.2547752143045727E-2</v>
      </c>
      <c r="B278">
        <v>0.13553616255219378</v>
      </c>
      <c r="F278">
        <f t="shared" si="8"/>
        <v>3.2599958938594091</v>
      </c>
      <c r="G278">
        <f t="shared" si="9"/>
        <v>3.3115142141834255</v>
      </c>
    </row>
    <row r="279" spans="1:7" x14ac:dyDescent="0.3">
      <c r="A279">
        <v>-3.245677774430078E-2</v>
      </c>
      <c r="B279">
        <v>0.13597670564885822</v>
      </c>
      <c r="F279">
        <f t="shared" si="8"/>
        <v>3.2605024117502568</v>
      </c>
      <c r="G279">
        <f t="shared" si="9"/>
        <v>3.3068116397567224</v>
      </c>
    </row>
    <row r="280" spans="1:7" x14ac:dyDescent="0.3">
      <c r="A280">
        <v>-3.2312560631112319E-2</v>
      </c>
      <c r="B280">
        <v>0.13765554990026849</v>
      </c>
      <c r="F280">
        <f t="shared" si="8"/>
        <v>3.2613016783745721</v>
      </c>
      <c r="G280">
        <f t="shared" si="9"/>
        <v>3.28849237664227</v>
      </c>
    </row>
    <row r="281" spans="1:7" x14ac:dyDescent="0.3">
      <c r="A281">
        <v>-3.2281071486323754E-2</v>
      </c>
      <c r="B281">
        <v>0.13780396110601634</v>
      </c>
      <c r="F281">
        <f t="shared" si="8"/>
        <v>3.26147559228363</v>
      </c>
      <c r="G281">
        <f t="shared" si="9"/>
        <v>3.2868428214934053</v>
      </c>
    </row>
    <row r="282" spans="1:7" x14ac:dyDescent="0.3">
      <c r="A282">
        <v>-3.2090824728129519E-2</v>
      </c>
      <c r="B282">
        <v>0.13807070902838398</v>
      </c>
      <c r="F282">
        <f t="shared" si="8"/>
        <v>3.2625217262540156</v>
      </c>
      <c r="G282">
        <f t="shared" si="9"/>
        <v>3.2838657788063812</v>
      </c>
    </row>
    <row r="283" spans="1:7" x14ac:dyDescent="0.3">
      <c r="A283">
        <v>-3.123935364578756E-2</v>
      </c>
      <c r="B283">
        <v>0.13929272620372224</v>
      </c>
      <c r="F283">
        <f t="shared" si="8"/>
        <v>3.2671070226927457</v>
      </c>
      <c r="G283">
        <f t="shared" si="9"/>
        <v>3.2700282170532704</v>
      </c>
    </row>
    <row r="284" spans="1:7" x14ac:dyDescent="0.3">
      <c r="A284">
        <v>-3.1188311585651718E-2</v>
      </c>
      <c r="B284">
        <v>0.13945676503778878</v>
      </c>
      <c r="F284">
        <f t="shared" si="8"/>
        <v>3.2673768552344988</v>
      </c>
      <c r="G284">
        <f t="shared" si="9"/>
        <v>3.268145976639163</v>
      </c>
    </row>
    <row r="285" spans="1:7" x14ac:dyDescent="0.3">
      <c r="A285">
        <v>-3.1138572512872997E-2</v>
      </c>
      <c r="B285">
        <v>0.13956924281700925</v>
      </c>
      <c r="F285">
        <f t="shared" si="8"/>
        <v>3.2676392506456429</v>
      </c>
      <c r="G285">
        <f t="shared" si="9"/>
        <v>3.2668520018524783</v>
      </c>
    </row>
    <row r="286" spans="1:7" x14ac:dyDescent="0.3">
      <c r="A286">
        <v>-3.0875546802974441E-2</v>
      </c>
      <c r="B286">
        <v>0.14089488024182115</v>
      </c>
      <c r="F286">
        <f t="shared" si="8"/>
        <v>3.2690178127073128</v>
      </c>
      <c r="G286">
        <f t="shared" si="9"/>
        <v>3.2513966001106658</v>
      </c>
    </row>
    <row r="287" spans="1:7" x14ac:dyDescent="0.3">
      <c r="A287">
        <v>-3.0567183460505021E-2</v>
      </c>
      <c r="B287">
        <v>0.14119670313862412</v>
      </c>
      <c r="F287">
        <f t="shared" si="8"/>
        <v>3.2706146714129383</v>
      </c>
      <c r="G287">
        <f t="shared" si="9"/>
        <v>3.247825267152467</v>
      </c>
    </row>
    <row r="288" spans="1:7" x14ac:dyDescent="0.3">
      <c r="A288">
        <v>-3.0473556430024473E-2</v>
      </c>
      <c r="B288">
        <v>0.14310924763408298</v>
      </c>
      <c r="F288">
        <f t="shared" si="8"/>
        <v>3.2710953861291259</v>
      </c>
      <c r="G288">
        <f t="shared" si="9"/>
        <v>3.2247495769913188</v>
      </c>
    </row>
    <row r="289" spans="1:7" x14ac:dyDescent="0.3">
      <c r="A289">
        <v>-2.9431436920842519E-2</v>
      </c>
      <c r="B289">
        <v>0.14364752332928754</v>
      </c>
      <c r="F289">
        <f t="shared" si="8"/>
        <v>3.2763157426808283</v>
      </c>
      <c r="G289">
        <f t="shared" si="9"/>
        <v>3.218117916874641</v>
      </c>
    </row>
    <row r="290" spans="1:7" x14ac:dyDescent="0.3">
      <c r="A290">
        <v>-2.9429259712969724E-2</v>
      </c>
      <c r="B290">
        <v>0.14679582981815376</v>
      </c>
      <c r="F290">
        <f t="shared" si="8"/>
        <v>3.2763263984373059</v>
      </c>
      <c r="G290">
        <f t="shared" si="9"/>
        <v>3.1781533442903322</v>
      </c>
    </row>
    <row r="291" spans="1:7" x14ac:dyDescent="0.3">
      <c r="A291">
        <v>-2.9370615323841776E-2</v>
      </c>
      <c r="B291">
        <v>0.14888014223804105</v>
      </c>
      <c r="F291">
        <f t="shared" si="8"/>
        <v>3.2766130236589235</v>
      </c>
      <c r="G291">
        <f t="shared" si="9"/>
        <v>3.1506186792464073</v>
      </c>
    </row>
    <row r="292" spans="1:7" x14ac:dyDescent="0.3">
      <c r="A292">
        <v>-2.9293752334638157E-2</v>
      </c>
      <c r="B292">
        <v>0.14928948215127161</v>
      </c>
      <c r="F292">
        <f t="shared" si="8"/>
        <v>3.276987542012562</v>
      </c>
      <c r="G292">
        <f t="shared" si="9"/>
        <v>3.1451131225711322</v>
      </c>
    </row>
    <row r="293" spans="1:7" x14ac:dyDescent="0.3">
      <c r="A293">
        <v>-2.9240804200746595E-2</v>
      </c>
      <c r="B293">
        <v>0.14935041700721025</v>
      </c>
      <c r="F293">
        <f t="shared" si="8"/>
        <v>3.277244774714096</v>
      </c>
      <c r="G293">
        <f t="shared" si="9"/>
        <v>3.1442908427197831</v>
      </c>
    </row>
    <row r="294" spans="1:7" x14ac:dyDescent="0.3">
      <c r="A294">
        <v>-2.912238319493099E-2</v>
      </c>
      <c r="B294">
        <v>0.14953247577113141</v>
      </c>
      <c r="F294">
        <f t="shared" si="8"/>
        <v>3.2778178446538915</v>
      </c>
      <c r="G294">
        <f t="shared" si="9"/>
        <v>3.1418298889020573</v>
      </c>
    </row>
    <row r="295" spans="1:7" x14ac:dyDescent="0.3">
      <c r="A295">
        <v>-2.9096678794019226E-2</v>
      </c>
      <c r="B295">
        <v>0.1498004304037194</v>
      </c>
      <c r="F295">
        <f t="shared" si="8"/>
        <v>3.2779418252961281</v>
      </c>
      <c r="G295">
        <f t="shared" si="9"/>
        <v>3.1381964906321165</v>
      </c>
    </row>
    <row r="296" spans="1:7" x14ac:dyDescent="0.3">
      <c r="A296">
        <v>-2.8931712056913916E-2</v>
      </c>
      <c r="B296">
        <v>0.15007375847249574</v>
      </c>
      <c r="F296">
        <f t="shared" si="8"/>
        <v>3.2787340337847239</v>
      </c>
      <c r="G296">
        <f t="shared" si="9"/>
        <v>3.1344763455292899</v>
      </c>
    </row>
    <row r="297" spans="1:7" x14ac:dyDescent="0.3">
      <c r="A297">
        <v>-2.8601155969909087E-2</v>
      </c>
      <c r="B297">
        <v>0.15200831136575879</v>
      </c>
      <c r="F297">
        <f t="shared" si="8"/>
        <v>3.2803033074022929</v>
      </c>
      <c r="G297">
        <f t="shared" si="9"/>
        <v>3.1077503993284585</v>
      </c>
    </row>
    <row r="298" spans="1:7" x14ac:dyDescent="0.3">
      <c r="A298">
        <v>-2.8591646388576919E-2</v>
      </c>
      <c r="B298">
        <v>0.15224672075750326</v>
      </c>
      <c r="F298">
        <f t="shared" si="8"/>
        <v>3.2803480946733634</v>
      </c>
      <c r="G298">
        <f t="shared" si="9"/>
        <v>3.1044094078991695</v>
      </c>
    </row>
    <row r="299" spans="1:7" x14ac:dyDescent="0.3">
      <c r="A299">
        <v>-2.8591139656896303E-2</v>
      </c>
      <c r="B299">
        <v>0.15241867630725275</v>
      </c>
      <c r="F299">
        <f t="shared" si="8"/>
        <v>3.2803504806647452</v>
      </c>
      <c r="G299">
        <f t="shared" si="9"/>
        <v>3.1019933117136489</v>
      </c>
    </row>
    <row r="300" spans="1:7" x14ac:dyDescent="0.3">
      <c r="A300">
        <v>-2.84424772100067E-2</v>
      </c>
      <c r="B300">
        <v>0.15341592635071716</v>
      </c>
      <c r="F300">
        <f t="shared" si="8"/>
        <v>3.2810480124563122</v>
      </c>
      <c r="G300">
        <f t="shared" si="9"/>
        <v>3.08787686669063</v>
      </c>
    </row>
    <row r="301" spans="1:7" x14ac:dyDescent="0.3">
      <c r="A301">
        <v>-2.8371216577809832E-2</v>
      </c>
      <c r="B301">
        <v>0.15344157499496247</v>
      </c>
      <c r="F301">
        <f t="shared" si="8"/>
        <v>3.2813806328969344</v>
      </c>
      <c r="G301">
        <f t="shared" si="9"/>
        <v>3.0875114677764062</v>
      </c>
    </row>
    <row r="302" spans="1:7" x14ac:dyDescent="0.3">
      <c r="A302">
        <v>-2.834520435285201E-2</v>
      </c>
      <c r="B302">
        <v>0.15451444422651153</v>
      </c>
      <c r="F302">
        <f t="shared" si="8"/>
        <v>3.281501768411919</v>
      </c>
      <c r="G302">
        <f t="shared" si="9"/>
        <v>3.0721234872142889</v>
      </c>
    </row>
    <row r="303" spans="1:7" x14ac:dyDescent="0.3">
      <c r="A303">
        <v>-2.8148848596913467E-2</v>
      </c>
      <c r="B303">
        <v>0.15515077511046541</v>
      </c>
      <c r="F303">
        <f t="shared" si="8"/>
        <v>3.2824113251275437</v>
      </c>
      <c r="G303">
        <f t="shared" si="9"/>
        <v>3.0629021209097278</v>
      </c>
    </row>
    <row r="304" spans="1:7" x14ac:dyDescent="0.3">
      <c r="A304">
        <v>-2.8129876846492152E-2</v>
      </c>
      <c r="B304">
        <v>0.15515520179652564</v>
      </c>
      <c r="F304">
        <f t="shared" si="8"/>
        <v>3.2824987522628968</v>
      </c>
      <c r="G304">
        <f t="shared" si="9"/>
        <v>3.0628377275846761</v>
      </c>
    </row>
    <row r="305" spans="1:7" x14ac:dyDescent="0.3">
      <c r="A305">
        <v>-2.7993146524914359E-2</v>
      </c>
      <c r="B305">
        <v>0.15537832477779295</v>
      </c>
      <c r="F305">
        <f t="shared" si="8"/>
        <v>3.2831264789166403</v>
      </c>
      <c r="G305">
        <f t="shared" si="9"/>
        <v>3.0595876942992373</v>
      </c>
    </row>
    <row r="306" spans="1:7" x14ac:dyDescent="0.3">
      <c r="A306">
        <v>-2.7863600533070354E-2</v>
      </c>
      <c r="B306">
        <v>0.15543798775497886</v>
      </c>
      <c r="F306">
        <f t="shared" si="8"/>
        <v>3.2837173889569602</v>
      </c>
      <c r="G306">
        <f t="shared" si="9"/>
        <v>3.0587171946618774</v>
      </c>
    </row>
    <row r="307" spans="1:7" x14ac:dyDescent="0.3">
      <c r="A307">
        <v>-2.7378933471469594E-2</v>
      </c>
      <c r="B307">
        <v>0.15553772324234355</v>
      </c>
      <c r="F307">
        <f t="shared" si="8"/>
        <v>3.2858950278256445</v>
      </c>
      <c r="G307">
        <f t="shared" si="9"/>
        <v>3.0572606699326492</v>
      </c>
    </row>
    <row r="308" spans="1:7" x14ac:dyDescent="0.3">
      <c r="A308">
        <v>-2.7215797590756097E-2</v>
      </c>
      <c r="B308">
        <v>0.1571357924926548</v>
      </c>
      <c r="F308">
        <f t="shared" si="8"/>
        <v>3.2866162378519306</v>
      </c>
      <c r="G308">
        <f t="shared" si="9"/>
        <v>3.0336937373537838</v>
      </c>
    </row>
    <row r="309" spans="1:7" x14ac:dyDescent="0.3">
      <c r="A309">
        <v>-2.7010694971210114E-2</v>
      </c>
      <c r="B309">
        <v>0.15806112881331619</v>
      </c>
      <c r="F309">
        <f t="shared" si="8"/>
        <v>3.2875145580831795</v>
      </c>
      <c r="G309">
        <f t="shared" si="9"/>
        <v>3.0198538680810625</v>
      </c>
    </row>
    <row r="310" spans="1:7" x14ac:dyDescent="0.3">
      <c r="A310">
        <v>-2.6806460602845583E-2</v>
      </c>
      <c r="B310">
        <v>0.15891069418504747</v>
      </c>
      <c r="F310">
        <f t="shared" si="8"/>
        <v>3.2883997467915616</v>
      </c>
      <c r="G310">
        <f t="shared" si="9"/>
        <v>3.007024785358865</v>
      </c>
    </row>
    <row r="311" spans="1:7" x14ac:dyDescent="0.3">
      <c r="A311">
        <v>-2.6798191281500294E-2</v>
      </c>
      <c r="B311">
        <v>0.15967029067732497</v>
      </c>
      <c r="F311">
        <f t="shared" si="8"/>
        <v>3.2884353913298705</v>
      </c>
      <c r="G311">
        <f t="shared" si="9"/>
        <v>2.9954566522834103</v>
      </c>
    </row>
    <row r="312" spans="1:7" x14ac:dyDescent="0.3">
      <c r="A312">
        <v>-2.6732106636018216E-2</v>
      </c>
      <c r="B312">
        <v>0.15973905979197325</v>
      </c>
      <c r="F312">
        <f t="shared" si="8"/>
        <v>3.2887196974169939</v>
      </c>
      <c r="G312">
        <f t="shared" si="9"/>
        <v>2.9944048458141275</v>
      </c>
    </row>
    <row r="313" spans="1:7" x14ac:dyDescent="0.3">
      <c r="A313">
        <v>-2.6576197485098874E-2</v>
      </c>
      <c r="B313">
        <v>0.16185901401892144</v>
      </c>
      <c r="F313">
        <f t="shared" si="8"/>
        <v>3.2893865751472253</v>
      </c>
      <c r="G313">
        <f t="shared" si="9"/>
        <v>2.9616214585622123</v>
      </c>
    </row>
    <row r="314" spans="1:7" x14ac:dyDescent="0.3">
      <c r="A314">
        <v>-2.6552254688454013E-2</v>
      </c>
      <c r="B314">
        <v>0.16485556420762931</v>
      </c>
      <c r="F314">
        <f t="shared" si="8"/>
        <v>3.2894885055645924</v>
      </c>
      <c r="G314">
        <f t="shared" si="9"/>
        <v>2.9141382078482256</v>
      </c>
    </row>
    <row r="315" spans="1:7" x14ac:dyDescent="0.3">
      <c r="A315">
        <v>-2.6529287272012425E-2</v>
      </c>
      <c r="B315">
        <v>0.16549962678657673</v>
      </c>
      <c r="F315">
        <f t="shared" si="8"/>
        <v>3.2895861631023662</v>
      </c>
      <c r="G315">
        <f t="shared" si="9"/>
        <v>2.9037648041508635</v>
      </c>
    </row>
    <row r="316" spans="1:7" x14ac:dyDescent="0.3">
      <c r="A316">
        <v>-2.652763213479048E-2</v>
      </c>
      <c r="B316">
        <v>0.17126561642174878</v>
      </c>
      <c r="F316">
        <f t="shared" si="8"/>
        <v>3.2895931961956291</v>
      </c>
      <c r="G316">
        <f t="shared" si="9"/>
        <v>2.8084464684721846</v>
      </c>
    </row>
    <row r="317" spans="1:7" x14ac:dyDescent="0.3">
      <c r="A317">
        <v>-2.6512574473798622E-2</v>
      </c>
      <c r="B317">
        <v>0.17130870757263078</v>
      </c>
      <c r="F317">
        <f t="shared" si="8"/>
        <v>3.289657151838425</v>
      </c>
      <c r="G317">
        <f t="shared" si="9"/>
        <v>2.8077184282469125</v>
      </c>
    </row>
    <row r="318" spans="1:7" x14ac:dyDescent="0.3">
      <c r="A318">
        <v>-2.6508262216538014E-2</v>
      </c>
      <c r="B318">
        <v>0.1719848434671927</v>
      </c>
      <c r="F318">
        <f t="shared" si="8"/>
        <v>3.2896754583045604</v>
      </c>
      <c r="G318">
        <f t="shared" si="9"/>
        <v>2.7962661484449969</v>
      </c>
    </row>
    <row r="319" spans="1:7" x14ac:dyDescent="0.3">
      <c r="A319">
        <v>-2.6424464920012269E-2</v>
      </c>
      <c r="B319">
        <v>0.17294455568801267</v>
      </c>
      <c r="F319">
        <f t="shared" si="8"/>
        <v>3.2900303703575915</v>
      </c>
      <c r="G319">
        <f t="shared" si="9"/>
        <v>2.7799194465495485</v>
      </c>
    </row>
    <row r="320" spans="1:7" x14ac:dyDescent="0.3">
      <c r="A320">
        <v>-2.6377721063170156E-2</v>
      </c>
      <c r="B320">
        <v>0.17822666817356214</v>
      </c>
      <c r="F320">
        <f t="shared" si="8"/>
        <v>3.290227665146888</v>
      </c>
      <c r="G320">
        <f t="shared" si="9"/>
        <v>2.6881619153249772</v>
      </c>
    </row>
    <row r="321" spans="1:7" x14ac:dyDescent="0.3">
      <c r="A321">
        <v>-2.6361776478010857E-2</v>
      </c>
      <c r="B321">
        <v>0.17836025240351011</v>
      </c>
      <c r="F321">
        <f t="shared" si="8"/>
        <v>3.2902948516663044</v>
      </c>
      <c r="G321">
        <f t="shared" si="9"/>
        <v>2.6858047535697129</v>
      </c>
    </row>
    <row r="322" spans="1:7" x14ac:dyDescent="0.3">
      <c r="A322">
        <v>-2.6283813572149484E-2</v>
      </c>
      <c r="B322">
        <v>0.17844915150102811</v>
      </c>
      <c r="F322">
        <f t="shared" si="8"/>
        <v>3.2906225488418759</v>
      </c>
      <c r="G322">
        <f t="shared" si="9"/>
        <v>2.6842351441646328</v>
      </c>
    </row>
    <row r="323" spans="1:7" x14ac:dyDescent="0.3">
      <c r="A323">
        <v>-2.6283278510561559E-2</v>
      </c>
      <c r="B323">
        <v>0.17957062187743628</v>
      </c>
      <c r="F323">
        <f t="shared" ref="F323:F386" si="10">_xlfn.NORM.DIST(A323,$J$6,$K$6,FALSE)</f>
        <v>3.2906247931368573</v>
      </c>
      <c r="G323">
        <f t="shared" ref="G323:G386" si="11">_xlfn.NORM.DIST(B323,$J$7,$K$7,FALSE)</f>
        <v>2.6643709267135378</v>
      </c>
    </row>
    <row r="324" spans="1:7" x14ac:dyDescent="0.3">
      <c r="A324">
        <v>-2.6115978147373653E-2</v>
      </c>
      <c r="B324">
        <v>0.18048532611084162</v>
      </c>
      <c r="F324">
        <f t="shared" si="10"/>
        <v>3.2913233850301333</v>
      </c>
      <c r="G324">
        <f t="shared" si="11"/>
        <v>2.6480842681161159</v>
      </c>
    </row>
    <row r="325" spans="1:7" x14ac:dyDescent="0.3">
      <c r="A325">
        <v>-2.5928478140713196E-2</v>
      </c>
      <c r="B325">
        <v>0.18062460844371869</v>
      </c>
      <c r="F325">
        <f t="shared" si="10"/>
        <v>3.2920988743047643</v>
      </c>
      <c r="G325">
        <f t="shared" si="11"/>
        <v>2.645597788319114</v>
      </c>
    </row>
    <row r="326" spans="1:7" x14ac:dyDescent="0.3">
      <c r="A326">
        <v>-2.5811778304841937E-2</v>
      </c>
      <c r="B326">
        <v>0.1810167244513653</v>
      </c>
      <c r="F326">
        <f t="shared" si="10"/>
        <v>3.2925775602912224</v>
      </c>
      <c r="G326">
        <f t="shared" si="11"/>
        <v>2.638588638604185</v>
      </c>
    </row>
    <row r="327" spans="1:7" x14ac:dyDescent="0.3">
      <c r="A327">
        <v>-2.5770121249394151E-2</v>
      </c>
      <c r="B327">
        <v>0.18644860582024095</v>
      </c>
      <c r="F327">
        <f t="shared" si="10"/>
        <v>3.2927476920638217</v>
      </c>
      <c r="G327">
        <f t="shared" si="11"/>
        <v>2.5402234316253254</v>
      </c>
    </row>
    <row r="328" spans="1:7" x14ac:dyDescent="0.3">
      <c r="A328">
        <v>-2.5483387251028944E-2</v>
      </c>
      <c r="B328">
        <v>0.18669138801130702</v>
      </c>
      <c r="F328">
        <f t="shared" si="10"/>
        <v>3.2939081822993743</v>
      </c>
      <c r="G328">
        <f t="shared" si="11"/>
        <v>2.53577635588212</v>
      </c>
    </row>
    <row r="329" spans="1:7" x14ac:dyDescent="0.3">
      <c r="A329">
        <v>-2.5475483067509685E-2</v>
      </c>
      <c r="B329">
        <v>0.18678069707179387</v>
      </c>
      <c r="F329">
        <f t="shared" si="10"/>
        <v>3.2939399113489283</v>
      </c>
      <c r="G329">
        <f t="shared" si="11"/>
        <v>2.5341394767034027</v>
      </c>
    </row>
    <row r="330" spans="1:7" x14ac:dyDescent="0.3">
      <c r="A330">
        <v>-2.5292570492496225E-2</v>
      </c>
      <c r="B330">
        <v>0.18701754878087989</v>
      </c>
      <c r="F330">
        <f t="shared" si="10"/>
        <v>3.2946702419906742</v>
      </c>
      <c r="G330">
        <f t="shared" si="11"/>
        <v>2.5297958378460681</v>
      </c>
    </row>
    <row r="331" spans="1:7" x14ac:dyDescent="0.3">
      <c r="A331">
        <v>-2.48864236314148E-2</v>
      </c>
      <c r="B331">
        <v>0.18800320751293748</v>
      </c>
      <c r="F331">
        <f t="shared" si="10"/>
        <v>3.2962650179494744</v>
      </c>
      <c r="G331">
        <f t="shared" si="11"/>
        <v>2.5116807243557826</v>
      </c>
    </row>
    <row r="332" spans="1:7" x14ac:dyDescent="0.3">
      <c r="A332">
        <v>-2.4853641408910221E-2</v>
      </c>
      <c r="B332">
        <v>0.18864682424191662</v>
      </c>
      <c r="F332">
        <f t="shared" si="10"/>
        <v>3.2963921226421107</v>
      </c>
      <c r="G332">
        <f t="shared" si="11"/>
        <v>2.4998190007011316</v>
      </c>
    </row>
    <row r="333" spans="1:7" x14ac:dyDescent="0.3">
      <c r="A333">
        <v>-2.467759544947512E-2</v>
      </c>
      <c r="B333">
        <v>0.19023922259432868</v>
      </c>
      <c r="F333">
        <f t="shared" si="10"/>
        <v>3.2970705590311211</v>
      </c>
      <c r="G333">
        <f t="shared" si="11"/>
        <v>2.4703661323278432</v>
      </c>
    </row>
    <row r="334" spans="1:7" x14ac:dyDescent="0.3">
      <c r="A334">
        <v>-2.4368724464011393E-2</v>
      </c>
      <c r="B334">
        <v>0.20012925687206984</v>
      </c>
      <c r="F334">
        <f t="shared" si="10"/>
        <v>3.2982440052004378</v>
      </c>
      <c r="G334">
        <f t="shared" si="11"/>
        <v>2.2848407515257714</v>
      </c>
    </row>
    <row r="335" spans="1:7" x14ac:dyDescent="0.3">
      <c r="A335">
        <v>-2.4277341382003215E-2</v>
      </c>
      <c r="B335">
        <v>0.20156209355332966</v>
      </c>
      <c r="F335">
        <f t="shared" si="10"/>
        <v>3.2985870618307418</v>
      </c>
      <c r="G335">
        <f t="shared" si="11"/>
        <v>2.2577045172865247</v>
      </c>
    </row>
    <row r="336" spans="1:7" x14ac:dyDescent="0.3">
      <c r="A336">
        <v>-2.4275037602876637E-2</v>
      </c>
      <c r="B336">
        <v>0.2024375290013688</v>
      </c>
      <c r="F336">
        <f t="shared" si="10"/>
        <v>3.2985956860025296</v>
      </c>
      <c r="G336">
        <f t="shared" si="11"/>
        <v>2.2411057870838298</v>
      </c>
    </row>
    <row r="337" spans="1:7" x14ac:dyDescent="0.3">
      <c r="A337">
        <v>-2.4223988170698929E-2</v>
      </c>
      <c r="B337">
        <v>0.20719625662105634</v>
      </c>
      <c r="F337">
        <f t="shared" si="10"/>
        <v>3.2987864819194099</v>
      </c>
      <c r="G337">
        <f t="shared" si="11"/>
        <v>2.1507233604235072</v>
      </c>
    </row>
    <row r="338" spans="1:7" x14ac:dyDescent="0.3">
      <c r="A338">
        <v>-2.4211143010802516E-2</v>
      </c>
      <c r="B338">
        <v>0.20994644273493804</v>
      </c>
      <c r="F338">
        <f t="shared" si="10"/>
        <v>3.2988343978298005</v>
      </c>
      <c r="G338">
        <f t="shared" si="11"/>
        <v>2.0984580210745296</v>
      </c>
    </row>
    <row r="339" spans="1:7" x14ac:dyDescent="0.3">
      <c r="A339">
        <v>-2.419603431798123E-2</v>
      </c>
      <c r="B339">
        <v>0.22713358740065537</v>
      </c>
      <c r="F339">
        <f t="shared" si="10"/>
        <v>3.298890709704275</v>
      </c>
      <c r="G339">
        <f t="shared" si="11"/>
        <v>1.7753528327017021</v>
      </c>
    </row>
    <row r="340" spans="1:7" x14ac:dyDescent="0.3">
      <c r="A340">
        <v>-2.3941381296594955E-2</v>
      </c>
      <c r="B340">
        <v>0.2283016628573499</v>
      </c>
      <c r="F340">
        <f t="shared" si="10"/>
        <v>3.2998320827775882</v>
      </c>
      <c r="G340">
        <f t="shared" si="11"/>
        <v>1.753815312508445</v>
      </c>
    </row>
    <row r="341" spans="1:7" x14ac:dyDescent="0.3">
      <c r="A341">
        <v>-2.3878449157393788E-2</v>
      </c>
      <c r="B341">
        <v>0.23135915713058428</v>
      </c>
      <c r="F341">
        <f t="shared" si="10"/>
        <v>3.3000624680859278</v>
      </c>
      <c r="G341">
        <f t="shared" si="11"/>
        <v>1.6978070544082755</v>
      </c>
    </row>
    <row r="342" spans="1:7" x14ac:dyDescent="0.3">
      <c r="A342">
        <v>-2.3839066318714686E-2</v>
      </c>
      <c r="B342">
        <v>0.23157359255284746</v>
      </c>
      <c r="F342">
        <f t="shared" si="10"/>
        <v>3.3002061880021172</v>
      </c>
      <c r="G342">
        <f t="shared" si="11"/>
        <v>1.6939000687583778</v>
      </c>
    </row>
    <row r="343" spans="1:7" x14ac:dyDescent="0.3">
      <c r="A343">
        <v>-2.3812521479442239E-2</v>
      </c>
      <c r="B343">
        <v>0.23508242459958112</v>
      </c>
      <c r="F343">
        <f t="shared" si="10"/>
        <v>3.3003028605849973</v>
      </c>
      <c r="G343">
        <f t="shared" si="11"/>
        <v>1.6303951005273778</v>
      </c>
    </row>
    <row r="344" spans="1:7" x14ac:dyDescent="0.3">
      <c r="A344">
        <v>-2.3770992353092879E-2</v>
      </c>
      <c r="B344">
        <v>0.23995677983709668</v>
      </c>
      <c r="F344">
        <f t="shared" si="10"/>
        <v>3.300453784623969</v>
      </c>
      <c r="G344">
        <f t="shared" si="11"/>
        <v>1.5436283297730713</v>
      </c>
    </row>
    <row r="345" spans="1:7" x14ac:dyDescent="0.3">
      <c r="A345">
        <v>-2.3719312363198242E-2</v>
      </c>
      <c r="B345">
        <v>0.24072123269750684</v>
      </c>
      <c r="F345">
        <f t="shared" si="10"/>
        <v>3.300641054670213</v>
      </c>
      <c r="G345">
        <f t="shared" si="11"/>
        <v>1.5301867796031294</v>
      </c>
    </row>
    <row r="346" spans="1:7" x14ac:dyDescent="0.3">
      <c r="A346">
        <v>-2.3518819885879338E-2</v>
      </c>
      <c r="B346">
        <v>0.24376037294671382</v>
      </c>
      <c r="F346">
        <f t="shared" si="10"/>
        <v>3.3013618572047507</v>
      </c>
      <c r="G346">
        <f t="shared" si="11"/>
        <v>1.4772257293068296</v>
      </c>
    </row>
    <row r="347" spans="1:7" x14ac:dyDescent="0.3">
      <c r="A347">
        <v>-2.3458429830270688E-2</v>
      </c>
      <c r="B347">
        <v>0.24387124989837997</v>
      </c>
      <c r="F347">
        <f t="shared" si="10"/>
        <v>3.3015771887449659</v>
      </c>
      <c r="G347">
        <f t="shared" si="11"/>
        <v>1.4753083627772938</v>
      </c>
    </row>
    <row r="348" spans="1:7" x14ac:dyDescent="0.3">
      <c r="A348">
        <v>-2.3267642600558247E-2</v>
      </c>
      <c r="B348">
        <v>0.24662288507525684</v>
      </c>
      <c r="F348">
        <f t="shared" si="10"/>
        <v>3.3022520566567097</v>
      </c>
      <c r="G348">
        <f t="shared" si="11"/>
        <v>1.4280722822873055</v>
      </c>
    </row>
    <row r="349" spans="1:7" x14ac:dyDescent="0.3">
      <c r="A349">
        <v>-2.3231944352460232E-2</v>
      </c>
      <c r="B349">
        <v>0.25099680343871095</v>
      </c>
      <c r="F349">
        <f t="shared" si="10"/>
        <v>3.3023774169654829</v>
      </c>
      <c r="G349">
        <f t="shared" si="11"/>
        <v>1.3544213596823504</v>
      </c>
    </row>
    <row r="350" spans="1:7" x14ac:dyDescent="0.3">
      <c r="A350">
        <v>-2.3090903247066308E-2</v>
      </c>
      <c r="B350">
        <v>0.2553470878066747</v>
      </c>
      <c r="F350">
        <f t="shared" si="10"/>
        <v>3.3028698858265719</v>
      </c>
      <c r="G350">
        <f t="shared" si="11"/>
        <v>1.2830225738578929</v>
      </c>
    </row>
    <row r="351" spans="1:7" x14ac:dyDescent="0.3">
      <c r="A351">
        <v>-2.3051896322911603E-2</v>
      </c>
      <c r="B351">
        <v>0.25547098316508027</v>
      </c>
      <c r="F351">
        <f t="shared" si="10"/>
        <v>3.3030052903074534</v>
      </c>
      <c r="G351">
        <f t="shared" si="11"/>
        <v>1.2810173477903981</v>
      </c>
    </row>
    <row r="352" spans="1:7" x14ac:dyDescent="0.3">
      <c r="A352">
        <v>-2.295602574190525E-2</v>
      </c>
      <c r="B352">
        <v>0.25982498730549675</v>
      </c>
      <c r="F352">
        <f t="shared" si="10"/>
        <v>3.3033366214555318</v>
      </c>
      <c r="G352">
        <f t="shared" si="11"/>
        <v>1.2115757367011564</v>
      </c>
    </row>
    <row r="353" spans="1:7" x14ac:dyDescent="0.3">
      <c r="A353">
        <v>-2.2955782805354374E-2</v>
      </c>
      <c r="B353">
        <v>0.2599501259010909</v>
      </c>
      <c r="F353">
        <f t="shared" si="10"/>
        <v>3.3033374584068294</v>
      </c>
      <c r="G353">
        <f t="shared" si="11"/>
        <v>1.2096099371665359</v>
      </c>
    </row>
    <row r="354" spans="1:7" x14ac:dyDescent="0.3">
      <c r="A354">
        <v>-2.2749905584703356E-2</v>
      </c>
      <c r="B354">
        <v>0.26184592810105084</v>
      </c>
      <c r="F354">
        <f t="shared" si="10"/>
        <v>3.3040419290577132</v>
      </c>
      <c r="G354">
        <f t="shared" si="11"/>
        <v>1.1800384483614057</v>
      </c>
    </row>
    <row r="355" spans="1:7" x14ac:dyDescent="0.3">
      <c r="A355">
        <v>-2.2727188959152045E-2</v>
      </c>
      <c r="B355">
        <v>0.26369755801788242</v>
      </c>
      <c r="F355">
        <f t="shared" si="10"/>
        <v>3.3041190725553835</v>
      </c>
      <c r="G355">
        <f t="shared" si="11"/>
        <v>1.1515401117574091</v>
      </c>
    </row>
    <row r="356" spans="1:7" x14ac:dyDescent="0.3">
      <c r="A356">
        <v>-2.2715642117873358E-2</v>
      </c>
      <c r="B356">
        <v>0.26513737930274245</v>
      </c>
      <c r="F356">
        <f t="shared" si="10"/>
        <v>3.3041582397003721</v>
      </c>
      <c r="G356">
        <f t="shared" si="11"/>
        <v>1.1296461425882005</v>
      </c>
    </row>
    <row r="357" spans="1:7" x14ac:dyDescent="0.3">
      <c r="A357">
        <v>-2.2669894995914319E-2</v>
      </c>
      <c r="B357">
        <v>0.26525063071676969</v>
      </c>
      <c r="F357">
        <f t="shared" si="10"/>
        <v>3.3043131179562124</v>
      </c>
      <c r="G357">
        <f t="shared" si="11"/>
        <v>1.1279340088438115</v>
      </c>
    </row>
    <row r="358" spans="1:7" x14ac:dyDescent="0.3">
      <c r="A358">
        <v>-2.2526785707954671E-2</v>
      </c>
      <c r="B358">
        <v>0.27255178059019652</v>
      </c>
      <c r="F358">
        <f t="shared" si="10"/>
        <v>3.3047945554677653</v>
      </c>
      <c r="G358">
        <f t="shared" si="11"/>
        <v>1.0206876296871454</v>
      </c>
    </row>
    <row r="359" spans="1:7" x14ac:dyDescent="0.3">
      <c r="A359">
        <v>-2.2436701245794666E-2</v>
      </c>
      <c r="B359">
        <v>0.27390706974926826</v>
      </c>
      <c r="F359">
        <f t="shared" si="10"/>
        <v>3.3050952291907687</v>
      </c>
      <c r="G359">
        <f t="shared" si="11"/>
        <v>1.0014706732002925</v>
      </c>
    </row>
    <row r="360" spans="1:7" x14ac:dyDescent="0.3">
      <c r="A360">
        <v>-2.2390777172276444E-2</v>
      </c>
      <c r="B360">
        <v>0.27572058425957335</v>
      </c>
      <c r="F360">
        <f t="shared" si="10"/>
        <v>3.3052478010251645</v>
      </c>
      <c r="G360">
        <f t="shared" si="11"/>
        <v>0.9761008743758548</v>
      </c>
    </row>
    <row r="361" spans="1:7" x14ac:dyDescent="0.3">
      <c r="A361">
        <v>-2.2303343936187048E-2</v>
      </c>
      <c r="B361">
        <v>0.27957453443869962</v>
      </c>
      <c r="F361">
        <f t="shared" si="10"/>
        <v>3.3055369546027107</v>
      </c>
      <c r="G361">
        <f t="shared" si="11"/>
        <v>0.92350809440166637</v>
      </c>
    </row>
    <row r="362" spans="1:7" x14ac:dyDescent="0.3">
      <c r="A362">
        <v>-2.2138290191946908E-2</v>
      </c>
      <c r="B362">
        <v>0.28067317008142229</v>
      </c>
      <c r="F362">
        <f t="shared" si="10"/>
        <v>3.3060780811700745</v>
      </c>
      <c r="G362">
        <f t="shared" si="11"/>
        <v>0.90884722881648872</v>
      </c>
    </row>
    <row r="363" spans="1:7" x14ac:dyDescent="0.3">
      <c r="A363">
        <v>-2.2000736908012186E-2</v>
      </c>
      <c r="B363">
        <v>0.28589903427884866</v>
      </c>
      <c r="F363">
        <f t="shared" si="10"/>
        <v>3.306524323023301</v>
      </c>
      <c r="G363">
        <f t="shared" si="11"/>
        <v>0.84114144986637873</v>
      </c>
    </row>
    <row r="364" spans="1:7" x14ac:dyDescent="0.3">
      <c r="A364">
        <v>-2.1934484137314213E-2</v>
      </c>
      <c r="B364">
        <v>0.28914153881580512</v>
      </c>
      <c r="F364">
        <f t="shared" si="10"/>
        <v>3.3067377229076009</v>
      </c>
      <c r="G364">
        <f t="shared" si="11"/>
        <v>0.80082798304467173</v>
      </c>
    </row>
    <row r="365" spans="1:7" x14ac:dyDescent="0.3">
      <c r="A365">
        <v>-2.1868101340686508E-2</v>
      </c>
      <c r="B365">
        <v>0.29103601436408993</v>
      </c>
      <c r="F365">
        <f t="shared" si="10"/>
        <v>3.3069505415486846</v>
      </c>
      <c r="G365">
        <f t="shared" si="11"/>
        <v>0.7778771835473941</v>
      </c>
    </row>
    <row r="366" spans="1:7" x14ac:dyDescent="0.3">
      <c r="A366">
        <v>-2.1785680291031895E-2</v>
      </c>
      <c r="B366">
        <v>0.29219082025820431</v>
      </c>
      <c r="F366">
        <f t="shared" si="10"/>
        <v>3.3072133843912108</v>
      </c>
      <c r="G366">
        <f t="shared" si="11"/>
        <v>0.76410537990973426</v>
      </c>
    </row>
    <row r="367" spans="1:7" x14ac:dyDescent="0.3">
      <c r="A367">
        <v>-2.1668112062201317E-2</v>
      </c>
      <c r="B367">
        <v>0.29480527175912252</v>
      </c>
      <c r="F367">
        <f t="shared" si="10"/>
        <v>3.3075856406569213</v>
      </c>
      <c r="G367">
        <f t="shared" si="11"/>
        <v>0.73353655268678075</v>
      </c>
    </row>
    <row r="368" spans="1:7" x14ac:dyDescent="0.3">
      <c r="A368">
        <v>-2.160106541801099E-2</v>
      </c>
      <c r="B368">
        <v>0.3001644722203351</v>
      </c>
      <c r="F368">
        <f t="shared" si="10"/>
        <v>3.3077965235197579</v>
      </c>
      <c r="G368">
        <f t="shared" si="11"/>
        <v>0.67351331782693835</v>
      </c>
    </row>
    <row r="369" spans="1:7" x14ac:dyDescent="0.3">
      <c r="A369">
        <v>-2.1436978576616639E-2</v>
      </c>
      <c r="B369">
        <v>0.30276601363179717</v>
      </c>
      <c r="F369">
        <f t="shared" si="10"/>
        <v>3.3083083161635947</v>
      </c>
      <c r="G369">
        <f t="shared" si="11"/>
        <v>0.64564704587312927</v>
      </c>
    </row>
    <row r="370" spans="1:7" x14ac:dyDescent="0.3">
      <c r="A370">
        <v>-2.1408102587891165E-2</v>
      </c>
      <c r="B370">
        <v>0.30852057819814133</v>
      </c>
      <c r="F370">
        <f t="shared" si="10"/>
        <v>3.3083977476845581</v>
      </c>
      <c r="G370">
        <f t="shared" si="11"/>
        <v>0.58692530383358077</v>
      </c>
    </row>
    <row r="371" spans="1:7" x14ac:dyDescent="0.3">
      <c r="A371">
        <v>-2.0956322203801392E-2</v>
      </c>
      <c r="B371">
        <v>0.31108287287892078</v>
      </c>
      <c r="F371">
        <f t="shared" si="10"/>
        <v>3.3097722402780954</v>
      </c>
      <c r="G371">
        <f t="shared" si="11"/>
        <v>0.56205648715228385</v>
      </c>
    </row>
    <row r="372" spans="1:7" x14ac:dyDescent="0.3">
      <c r="A372">
        <v>-2.0755928758205755E-2</v>
      </c>
      <c r="B372">
        <v>0.32073398209459736</v>
      </c>
      <c r="F372">
        <f t="shared" si="10"/>
        <v>3.3103670335331663</v>
      </c>
      <c r="G372">
        <f t="shared" si="11"/>
        <v>0.47527694085989103</v>
      </c>
    </row>
    <row r="373" spans="1:7" x14ac:dyDescent="0.3">
      <c r="A373">
        <v>-2.0548120503673606E-2</v>
      </c>
      <c r="B373">
        <v>0.32384832106544603</v>
      </c>
      <c r="F373">
        <f t="shared" si="10"/>
        <v>3.3109741679182232</v>
      </c>
      <c r="G373">
        <f t="shared" si="11"/>
        <v>0.4495374792832092</v>
      </c>
    </row>
    <row r="374" spans="1:7" x14ac:dyDescent="0.3">
      <c r="A374">
        <v>-2.0526934108318073E-2</v>
      </c>
      <c r="B374">
        <v>0.32471037213876514</v>
      </c>
      <c r="F374">
        <f t="shared" si="10"/>
        <v>3.3110355131760891</v>
      </c>
      <c r="G374">
        <f t="shared" si="11"/>
        <v>0.44260280850456635</v>
      </c>
    </row>
    <row r="375" spans="1:7" x14ac:dyDescent="0.3">
      <c r="A375">
        <v>-2.0372475156198E-2</v>
      </c>
      <c r="B375">
        <v>0.33261987019696482</v>
      </c>
      <c r="F375">
        <f t="shared" si="10"/>
        <v>3.3114796554707109</v>
      </c>
      <c r="G375">
        <f t="shared" si="11"/>
        <v>0.38272087546564038</v>
      </c>
    </row>
    <row r="376" spans="1:7" x14ac:dyDescent="0.3">
      <c r="A376">
        <v>-2.0328763315376364E-2</v>
      </c>
      <c r="B376">
        <v>0.34540624048666985</v>
      </c>
      <c r="F376">
        <f t="shared" si="10"/>
        <v>3.3116043595470348</v>
      </c>
      <c r="G376">
        <f t="shared" si="11"/>
        <v>0.29944028466860617</v>
      </c>
    </row>
    <row r="377" spans="1:7" x14ac:dyDescent="0.3">
      <c r="A377">
        <v>-2.0135299535809281E-2</v>
      </c>
      <c r="B377">
        <v>0.34595548753986738</v>
      </c>
      <c r="F377">
        <f t="shared" si="10"/>
        <v>3.3121510504167118</v>
      </c>
      <c r="G377">
        <f t="shared" si="11"/>
        <v>0.29621525740852644</v>
      </c>
    </row>
    <row r="378" spans="1:7" x14ac:dyDescent="0.3">
      <c r="A378">
        <v>-2.0121254284049428E-2</v>
      </c>
      <c r="B378">
        <v>0.34969680477267284</v>
      </c>
      <c r="F378">
        <f t="shared" si="10"/>
        <v>3.312190406929425</v>
      </c>
      <c r="G378">
        <f t="shared" si="11"/>
        <v>0.27497894662030986</v>
      </c>
    </row>
    <row r="379" spans="1:7" x14ac:dyDescent="0.3">
      <c r="A379">
        <v>-1.9897035700978449E-2</v>
      </c>
      <c r="B379">
        <v>0.35086006656123819</v>
      </c>
      <c r="F379">
        <f t="shared" si="10"/>
        <v>3.3128125955166881</v>
      </c>
      <c r="G379">
        <f t="shared" si="11"/>
        <v>0.26863143536472261</v>
      </c>
    </row>
    <row r="380" spans="1:7" x14ac:dyDescent="0.3">
      <c r="A380">
        <v>-1.9863722372974735E-2</v>
      </c>
      <c r="B380">
        <v>0.36025750322843569</v>
      </c>
      <c r="F380">
        <f t="shared" si="10"/>
        <v>3.3129040576180784</v>
      </c>
      <c r="G380">
        <f t="shared" si="11"/>
        <v>0.22157804381260887</v>
      </c>
    </row>
    <row r="381" spans="1:7" x14ac:dyDescent="0.3">
      <c r="A381">
        <v>-1.9797223606929037E-2</v>
      </c>
      <c r="B381">
        <v>0.36134437495788896</v>
      </c>
      <c r="F381">
        <f t="shared" si="10"/>
        <v>3.3130858725320449</v>
      </c>
      <c r="G381">
        <f t="shared" si="11"/>
        <v>0.21660078097539637</v>
      </c>
    </row>
    <row r="382" spans="1:7" x14ac:dyDescent="0.3">
      <c r="A382">
        <v>-1.9754655572455704E-2</v>
      </c>
      <c r="B382">
        <v>0.36374729713494114</v>
      </c>
      <c r="F382">
        <f t="shared" si="10"/>
        <v>3.3132017278139481</v>
      </c>
      <c r="G382">
        <f t="shared" si="11"/>
        <v>0.20592215278239165</v>
      </c>
    </row>
    <row r="383" spans="1:7" x14ac:dyDescent="0.3">
      <c r="A383">
        <v>-1.9675911041758809E-2</v>
      </c>
      <c r="B383">
        <v>0.41089223219840126</v>
      </c>
      <c r="F383">
        <f t="shared" si="10"/>
        <v>3.3134149513779141</v>
      </c>
      <c r="G383">
        <f t="shared" si="11"/>
        <v>6.9673475213303859E-2</v>
      </c>
    </row>
    <row r="384" spans="1:7" x14ac:dyDescent="0.3">
      <c r="A384">
        <v>-1.961898177069088E-2</v>
      </c>
      <c r="B384">
        <v>0.41092775238433427</v>
      </c>
      <c r="F384">
        <f t="shared" si="10"/>
        <v>3.313568221189219</v>
      </c>
      <c r="G384">
        <f t="shared" si="11"/>
        <v>6.9612030088198801E-2</v>
      </c>
    </row>
    <row r="385" spans="1:7" x14ac:dyDescent="0.3">
      <c r="A385">
        <v>-1.9611666949003848E-2</v>
      </c>
      <c r="B385">
        <v>0.42525285912553012</v>
      </c>
      <c r="F385">
        <f t="shared" si="10"/>
        <v>3.3135878610646605</v>
      </c>
      <c r="G385">
        <f t="shared" si="11"/>
        <v>4.8377493284705607E-2</v>
      </c>
    </row>
    <row r="386" spans="1:7" x14ac:dyDescent="0.3">
      <c r="A386">
        <v>-1.9388737635431141E-2</v>
      </c>
      <c r="B386">
        <v>0.44840904236601292</v>
      </c>
      <c r="F386">
        <f t="shared" si="10"/>
        <v>3.3141805458857423</v>
      </c>
      <c r="G386">
        <f t="shared" si="11"/>
        <v>2.5963899250702225E-2</v>
      </c>
    </row>
    <row r="387" spans="1:7" x14ac:dyDescent="0.3">
      <c r="A387">
        <v>-1.9350086301614056E-2</v>
      </c>
      <c r="B387">
        <v>0.48087432185325052</v>
      </c>
      <c r="F387">
        <f t="shared" ref="F387:F450" si="12">_xlfn.NORM.DIST(A387,$J$6,$K$6,FALSE)</f>
        <v>3.3142821491574064</v>
      </c>
      <c r="G387">
        <f t="shared" ref="G387:G450" si="13">_xlfn.NORM.DIST(B387,$J$7,$K$7,FALSE)</f>
        <v>1.0107459459133416E-2</v>
      </c>
    </row>
    <row r="388" spans="1:7" x14ac:dyDescent="0.3">
      <c r="A388">
        <v>-1.9206338702758785E-2</v>
      </c>
      <c r="B388">
        <v>0.49671851410520529</v>
      </c>
      <c r="F388">
        <f t="shared" si="12"/>
        <v>3.3146570214845572</v>
      </c>
      <c r="G388">
        <f t="shared" si="13"/>
        <v>6.1890590576830391E-3</v>
      </c>
    </row>
    <row r="389" spans="1:7" x14ac:dyDescent="0.3">
      <c r="A389">
        <v>-1.9164852983976743E-2</v>
      </c>
      <c r="B389">
        <v>0.51322328325612931</v>
      </c>
      <c r="F389">
        <f t="shared" si="12"/>
        <v>3.3147643309736972</v>
      </c>
      <c r="G389">
        <f t="shared" si="13"/>
        <v>3.6359607626391998E-3</v>
      </c>
    </row>
    <row r="390" spans="1:7" x14ac:dyDescent="0.3">
      <c r="A390">
        <v>-1.9131836716138911E-2</v>
      </c>
      <c r="B390">
        <v>0.51995574244379394</v>
      </c>
      <c r="F390">
        <f t="shared" si="12"/>
        <v>3.3148494514257805</v>
      </c>
      <c r="G390">
        <f t="shared" si="13"/>
        <v>2.9088499550315684E-3</v>
      </c>
    </row>
    <row r="391" spans="1:7" x14ac:dyDescent="0.3">
      <c r="A391">
        <v>-1.897475727400888E-2</v>
      </c>
      <c r="B391">
        <v>0.52988933162860585</v>
      </c>
      <c r="F391">
        <f t="shared" si="12"/>
        <v>3.3152510065951417</v>
      </c>
      <c r="G391">
        <f t="shared" si="13"/>
        <v>2.0793466274689181E-3</v>
      </c>
    </row>
    <row r="392" spans="1:7" x14ac:dyDescent="0.3">
      <c r="A392">
        <v>-1.896252549795463E-2</v>
      </c>
      <c r="B392">
        <v>0.5378532517978738</v>
      </c>
      <c r="F392">
        <f t="shared" si="12"/>
        <v>3.3152820386621094</v>
      </c>
      <c r="G392">
        <f t="shared" si="13"/>
        <v>1.5798284178180177E-3</v>
      </c>
    </row>
    <row r="393" spans="1:7" x14ac:dyDescent="0.3">
      <c r="A393">
        <v>-1.8805946108898297E-2</v>
      </c>
      <c r="B393">
        <v>0.54132559263928792</v>
      </c>
      <c r="F393">
        <f t="shared" si="12"/>
        <v>3.3156762551513177</v>
      </c>
      <c r="G393">
        <f t="shared" si="13"/>
        <v>1.3992950773268995E-3</v>
      </c>
    </row>
    <row r="394" spans="1:7" x14ac:dyDescent="0.3">
      <c r="A394">
        <v>-1.8774548001033509E-2</v>
      </c>
      <c r="B394">
        <v>0.57444312352763038</v>
      </c>
      <c r="F394">
        <f t="shared" si="12"/>
        <v>3.315754629675673</v>
      </c>
      <c r="G394">
        <f t="shared" si="13"/>
        <v>4.1937921872508074E-4</v>
      </c>
    </row>
    <row r="395" spans="1:7" x14ac:dyDescent="0.3">
      <c r="A395">
        <v>-1.8736969138615223E-2</v>
      </c>
      <c r="B395">
        <v>0.58475690372093425</v>
      </c>
      <c r="F395">
        <f t="shared" si="12"/>
        <v>3.3158481354707257</v>
      </c>
      <c r="G395">
        <f t="shared" si="13"/>
        <v>2.8313562583739493E-4</v>
      </c>
    </row>
    <row r="396" spans="1:7" x14ac:dyDescent="0.3">
      <c r="A396">
        <v>-1.8686865165420841E-2</v>
      </c>
      <c r="B396">
        <v>0.63310490158900168</v>
      </c>
      <c r="F396">
        <f t="shared" si="12"/>
        <v>3.3159723037712054</v>
      </c>
      <c r="G396">
        <f t="shared" si="13"/>
        <v>4.0163975054327286E-5</v>
      </c>
    </row>
    <row r="397" spans="1:7" x14ac:dyDescent="0.3">
      <c r="A397">
        <v>-1.8601462703202287E-2</v>
      </c>
      <c r="B397">
        <v>0.63794783455564952</v>
      </c>
      <c r="F397">
        <f t="shared" si="12"/>
        <v>3.3161826236402949</v>
      </c>
      <c r="G397">
        <f t="shared" si="13"/>
        <v>3.2695226367914571E-5</v>
      </c>
    </row>
    <row r="398" spans="1:7" x14ac:dyDescent="0.3">
      <c r="A398">
        <v>-1.8390771095639025E-2</v>
      </c>
      <c r="F398">
        <f t="shared" si="12"/>
        <v>3.3166943442092127</v>
      </c>
    </row>
    <row r="399" spans="1:7" x14ac:dyDescent="0.3">
      <c r="A399">
        <v>-1.8181364710926573E-2</v>
      </c>
      <c r="F399">
        <f t="shared" si="12"/>
        <v>3.3171928601843716</v>
      </c>
    </row>
    <row r="400" spans="1:7" x14ac:dyDescent="0.3">
      <c r="A400">
        <v>-1.8094222109198199E-2</v>
      </c>
      <c r="F400">
        <f t="shared" si="12"/>
        <v>3.3173973501141627</v>
      </c>
    </row>
    <row r="401" spans="1:6" x14ac:dyDescent="0.3">
      <c r="A401">
        <v>-1.7883338157218986E-2</v>
      </c>
      <c r="F401">
        <f t="shared" si="12"/>
        <v>3.317885004183319</v>
      </c>
    </row>
    <row r="402" spans="1:6" x14ac:dyDescent="0.3">
      <c r="A402">
        <v>-1.7776691572407799E-2</v>
      </c>
      <c r="F402">
        <f t="shared" si="12"/>
        <v>3.3181277314900548</v>
      </c>
    </row>
    <row r="403" spans="1:6" x14ac:dyDescent="0.3">
      <c r="A403">
        <v>-1.7642003769349879E-2</v>
      </c>
      <c r="F403">
        <f t="shared" si="12"/>
        <v>3.3184305499557629</v>
      </c>
    </row>
    <row r="404" spans="1:6" x14ac:dyDescent="0.3">
      <c r="A404">
        <v>-1.7357831747006003E-2</v>
      </c>
      <c r="F404">
        <f t="shared" si="12"/>
        <v>3.3190557879434248</v>
      </c>
    </row>
    <row r="405" spans="1:6" x14ac:dyDescent="0.3">
      <c r="A405">
        <v>-1.7339209709405168E-2</v>
      </c>
      <c r="F405">
        <f t="shared" si="12"/>
        <v>3.3190961127622609</v>
      </c>
    </row>
    <row r="406" spans="1:6" x14ac:dyDescent="0.3">
      <c r="A406">
        <v>-1.7225748164946708E-2</v>
      </c>
      <c r="F406">
        <f t="shared" si="12"/>
        <v>3.3193400848296784</v>
      </c>
    </row>
    <row r="407" spans="1:6" x14ac:dyDescent="0.3">
      <c r="A407">
        <v>-1.6998694947915283E-2</v>
      </c>
      <c r="F407">
        <f t="shared" si="12"/>
        <v>3.319819425100333</v>
      </c>
    </row>
    <row r="408" spans="1:6" x14ac:dyDescent="0.3">
      <c r="A408">
        <v>-1.6923324345043511E-2</v>
      </c>
      <c r="F408">
        <f t="shared" si="12"/>
        <v>3.3199759229446055</v>
      </c>
    </row>
    <row r="409" spans="1:6" x14ac:dyDescent="0.3">
      <c r="A409">
        <v>-1.6776460571236385E-2</v>
      </c>
      <c r="F409">
        <f t="shared" si="12"/>
        <v>3.3202771153579431</v>
      </c>
    </row>
    <row r="410" spans="1:6" x14ac:dyDescent="0.3">
      <c r="A410">
        <v>-1.6732655259644957E-2</v>
      </c>
      <c r="F410">
        <f t="shared" si="12"/>
        <v>3.3203659921532327</v>
      </c>
    </row>
    <row r="411" spans="1:6" x14ac:dyDescent="0.3">
      <c r="A411">
        <v>-1.6662049195474538E-2</v>
      </c>
      <c r="F411">
        <f t="shared" si="12"/>
        <v>3.3205083161081017</v>
      </c>
    </row>
    <row r="412" spans="1:6" x14ac:dyDescent="0.3">
      <c r="A412">
        <v>-1.6655503626282098E-2</v>
      </c>
      <c r="F412">
        <f t="shared" si="12"/>
        <v>3.3205214522380171</v>
      </c>
    </row>
    <row r="413" spans="1:6" x14ac:dyDescent="0.3">
      <c r="A413">
        <v>-1.653820679700857E-2</v>
      </c>
      <c r="F413">
        <f t="shared" si="12"/>
        <v>3.3207551812579572</v>
      </c>
    </row>
    <row r="414" spans="1:6" x14ac:dyDescent="0.3">
      <c r="A414">
        <v>-1.648378184250987E-2</v>
      </c>
      <c r="F414">
        <f t="shared" si="12"/>
        <v>3.3208625548482202</v>
      </c>
    </row>
    <row r="415" spans="1:6" x14ac:dyDescent="0.3">
      <c r="A415">
        <v>-1.6321882946442656E-2</v>
      </c>
      <c r="F415">
        <f t="shared" si="12"/>
        <v>3.3211779313063943</v>
      </c>
    </row>
    <row r="416" spans="1:6" x14ac:dyDescent="0.3">
      <c r="A416">
        <v>-1.6244960584600676E-2</v>
      </c>
      <c r="F416">
        <f t="shared" si="12"/>
        <v>3.3213256607380046</v>
      </c>
    </row>
    <row r="417" spans="1:6" x14ac:dyDescent="0.3">
      <c r="A417">
        <v>-1.6194572477559177E-2</v>
      </c>
      <c r="F417">
        <f t="shared" si="12"/>
        <v>3.3214216927666738</v>
      </c>
    </row>
    <row r="418" spans="1:6" x14ac:dyDescent="0.3">
      <c r="A418">
        <v>-1.6174701520981216E-2</v>
      </c>
      <c r="F418">
        <f t="shared" si="12"/>
        <v>3.3214594030665752</v>
      </c>
    </row>
    <row r="419" spans="1:6" x14ac:dyDescent="0.3">
      <c r="A419">
        <v>-1.5966715395052233E-2</v>
      </c>
      <c r="F419">
        <f t="shared" si="12"/>
        <v>3.3218486547352049</v>
      </c>
    </row>
    <row r="420" spans="1:6" x14ac:dyDescent="0.3">
      <c r="A420">
        <v>-1.5855016824048107E-2</v>
      </c>
      <c r="F420">
        <f t="shared" si="12"/>
        <v>3.322053589845912</v>
      </c>
    </row>
    <row r="421" spans="1:6" x14ac:dyDescent="0.3">
      <c r="A421">
        <v>-1.5649546015886528E-2</v>
      </c>
      <c r="F421">
        <f t="shared" si="12"/>
        <v>3.3224230639853154</v>
      </c>
    </row>
    <row r="422" spans="1:6" x14ac:dyDescent="0.3">
      <c r="A422">
        <v>-1.5566715939030473E-2</v>
      </c>
      <c r="F422">
        <f t="shared" si="12"/>
        <v>3.3225692564687557</v>
      </c>
    </row>
    <row r="423" spans="1:6" x14ac:dyDescent="0.3">
      <c r="A423">
        <v>-1.5479276814218679E-2</v>
      </c>
      <c r="F423">
        <f t="shared" si="12"/>
        <v>3.3227218681953219</v>
      </c>
    </row>
    <row r="424" spans="1:6" x14ac:dyDescent="0.3">
      <c r="A424">
        <v>-1.5446220207500971E-2</v>
      </c>
      <c r="F424">
        <f t="shared" si="12"/>
        <v>3.3227791044519406</v>
      </c>
    </row>
    <row r="425" spans="1:6" x14ac:dyDescent="0.3">
      <c r="A425">
        <v>-1.5430278632038608E-2</v>
      </c>
      <c r="F425">
        <f t="shared" si="12"/>
        <v>3.3228066166592183</v>
      </c>
    </row>
    <row r="426" spans="1:6" x14ac:dyDescent="0.3">
      <c r="A426">
        <v>-1.5386163014341037E-2</v>
      </c>
      <c r="F426">
        <f t="shared" si="12"/>
        <v>3.3228824466768487</v>
      </c>
    </row>
    <row r="427" spans="1:6" x14ac:dyDescent="0.3">
      <c r="A427">
        <v>-1.5200640604916771E-2</v>
      </c>
      <c r="F427">
        <f t="shared" si="12"/>
        <v>3.3231964288850695</v>
      </c>
    </row>
    <row r="428" spans="1:6" x14ac:dyDescent="0.3">
      <c r="A428">
        <v>-1.5190680308421634E-2</v>
      </c>
      <c r="F428">
        <f t="shared" si="12"/>
        <v>3.3232130614407307</v>
      </c>
    </row>
    <row r="429" spans="1:6" x14ac:dyDescent="0.3">
      <c r="A429">
        <v>-1.5156292531486315E-2</v>
      </c>
      <c r="F429">
        <f t="shared" si="12"/>
        <v>3.3232703092589739</v>
      </c>
    </row>
    <row r="430" spans="1:6" x14ac:dyDescent="0.3">
      <c r="A430">
        <v>-1.5085606970842491E-2</v>
      </c>
      <c r="F430">
        <f t="shared" si="12"/>
        <v>3.3233871282247334</v>
      </c>
    </row>
    <row r="431" spans="1:6" x14ac:dyDescent="0.3">
      <c r="A431">
        <v>-1.4938945581008056E-2</v>
      </c>
      <c r="F431">
        <f t="shared" si="12"/>
        <v>3.323625833153439</v>
      </c>
    </row>
    <row r="432" spans="1:6" x14ac:dyDescent="0.3">
      <c r="A432">
        <v>-1.488081408191988E-2</v>
      </c>
      <c r="F432">
        <f t="shared" si="12"/>
        <v>3.3237190744599063</v>
      </c>
    </row>
    <row r="433" spans="1:6" x14ac:dyDescent="0.3">
      <c r="A433">
        <v>-1.481131272038283E-2</v>
      </c>
      <c r="F433">
        <f t="shared" si="12"/>
        <v>3.3238295294667646</v>
      </c>
    </row>
    <row r="434" spans="1:6" x14ac:dyDescent="0.3">
      <c r="A434">
        <v>-1.4743573563919199E-2</v>
      </c>
      <c r="F434">
        <f t="shared" si="12"/>
        <v>3.3239361114190831</v>
      </c>
    </row>
    <row r="435" spans="1:6" x14ac:dyDescent="0.3">
      <c r="A435">
        <v>-1.4635019955338502E-2</v>
      </c>
      <c r="F435">
        <f t="shared" si="12"/>
        <v>3.3241047035636977</v>
      </c>
    </row>
    <row r="436" spans="1:6" x14ac:dyDescent="0.3">
      <c r="A436">
        <v>-1.4020886347907435E-2</v>
      </c>
      <c r="F436">
        <f t="shared" si="12"/>
        <v>3.3250072752078745</v>
      </c>
    </row>
    <row r="437" spans="1:6" x14ac:dyDescent="0.3">
      <c r="A437">
        <v>-1.3873128660293332E-2</v>
      </c>
      <c r="F437">
        <f t="shared" si="12"/>
        <v>3.3252114315905761</v>
      </c>
    </row>
    <row r="438" spans="1:6" x14ac:dyDescent="0.3">
      <c r="A438">
        <v>-1.382567269502033E-2</v>
      </c>
      <c r="F438">
        <f t="shared" si="12"/>
        <v>3.3252759313509856</v>
      </c>
    </row>
    <row r="439" spans="1:6" x14ac:dyDescent="0.3">
      <c r="A439">
        <v>-1.37040673310449E-2</v>
      </c>
      <c r="F439">
        <f t="shared" si="12"/>
        <v>3.3254388363630167</v>
      </c>
    </row>
    <row r="440" spans="1:6" x14ac:dyDescent="0.3">
      <c r="A440">
        <v>-1.3664177607381589E-2</v>
      </c>
      <c r="F440">
        <f t="shared" si="12"/>
        <v>3.3254915292252343</v>
      </c>
    </row>
    <row r="441" spans="1:6" x14ac:dyDescent="0.3">
      <c r="A441">
        <v>-1.358804606979902E-2</v>
      </c>
      <c r="F441">
        <f t="shared" si="12"/>
        <v>3.3255910756671949</v>
      </c>
    </row>
    <row r="442" spans="1:6" x14ac:dyDescent="0.3">
      <c r="A442">
        <v>-1.3408424093995563E-2</v>
      </c>
      <c r="F442">
        <f t="shared" si="12"/>
        <v>3.3258206336350233</v>
      </c>
    </row>
    <row r="443" spans="1:6" x14ac:dyDescent="0.3">
      <c r="A443">
        <v>-1.3220682134800654E-2</v>
      </c>
      <c r="F443">
        <f t="shared" si="12"/>
        <v>3.3260525981454396</v>
      </c>
    </row>
    <row r="444" spans="1:6" x14ac:dyDescent="0.3">
      <c r="A444">
        <v>-1.3062689260607385E-2</v>
      </c>
      <c r="F444">
        <f t="shared" si="12"/>
        <v>3.3262414920751495</v>
      </c>
    </row>
    <row r="445" spans="1:6" x14ac:dyDescent="0.3">
      <c r="A445">
        <v>-1.2837392344863474E-2</v>
      </c>
      <c r="F445">
        <f t="shared" si="12"/>
        <v>3.3265008697505216</v>
      </c>
    </row>
    <row r="446" spans="1:6" x14ac:dyDescent="0.3">
      <c r="A446">
        <v>-1.2794074312950487E-2</v>
      </c>
      <c r="F446">
        <f t="shared" si="12"/>
        <v>3.3265493950184508</v>
      </c>
    </row>
    <row r="447" spans="1:6" x14ac:dyDescent="0.3">
      <c r="A447">
        <v>-1.2652354656097486E-2</v>
      </c>
      <c r="F447">
        <f t="shared" si="12"/>
        <v>3.3267051179708171</v>
      </c>
    </row>
    <row r="448" spans="1:6" x14ac:dyDescent="0.3">
      <c r="A448">
        <v>-1.2651765778173285E-2</v>
      </c>
      <c r="F448">
        <f t="shared" si="12"/>
        <v>3.3267057553433359</v>
      </c>
    </row>
    <row r="449" spans="1:6" x14ac:dyDescent="0.3">
      <c r="A449">
        <v>-1.2651091945940607E-2</v>
      </c>
      <c r="F449">
        <f t="shared" si="12"/>
        <v>3.3267064845678096</v>
      </c>
    </row>
    <row r="450" spans="1:6" x14ac:dyDescent="0.3">
      <c r="A450">
        <v>-1.2615244469451503E-2</v>
      </c>
      <c r="F450">
        <f t="shared" si="12"/>
        <v>3.3267451274520119</v>
      </c>
    </row>
    <row r="451" spans="1:6" x14ac:dyDescent="0.3">
      <c r="A451">
        <v>-1.2559556296082519E-2</v>
      </c>
      <c r="F451">
        <f t="shared" ref="F451:F514" si="14">_xlfn.NORM.DIST(A451,$J$6,$K$6,FALSE)</f>
        <v>3.3268045686136993</v>
      </c>
    </row>
    <row r="452" spans="1:6" x14ac:dyDescent="0.3">
      <c r="A452">
        <v>-1.2321035730849417E-2</v>
      </c>
      <c r="F452">
        <f t="shared" si="14"/>
        <v>3.3270510459877332</v>
      </c>
    </row>
    <row r="453" spans="1:6" x14ac:dyDescent="0.3">
      <c r="A453">
        <v>-1.2275167818870614E-2</v>
      </c>
      <c r="F453">
        <f t="shared" si="14"/>
        <v>3.3270969348897022</v>
      </c>
    </row>
    <row r="454" spans="1:6" x14ac:dyDescent="0.3">
      <c r="A454">
        <v>-1.2260978306699144E-2</v>
      </c>
      <c r="F454">
        <f t="shared" si="14"/>
        <v>3.3271110322954796</v>
      </c>
    </row>
    <row r="455" spans="1:6" x14ac:dyDescent="0.3">
      <c r="A455">
        <v>-1.2087908183048057E-2</v>
      </c>
      <c r="F455">
        <f t="shared" si="14"/>
        <v>3.3272792289346333</v>
      </c>
    </row>
    <row r="456" spans="1:6" x14ac:dyDescent="0.3">
      <c r="A456">
        <v>-1.1993679810899494E-2</v>
      </c>
      <c r="F456">
        <f t="shared" si="14"/>
        <v>3.3273678892842593</v>
      </c>
    </row>
    <row r="457" spans="1:6" x14ac:dyDescent="0.3">
      <c r="A457">
        <v>-1.1931112909223884E-2</v>
      </c>
      <c r="F457">
        <f t="shared" si="14"/>
        <v>3.3274256237229665</v>
      </c>
    </row>
    <row r="458" spans="1:6" x14ac:dyDescent="0.3">
      <c r="A458">
        <v>-1.1804437648123667E-2</v>
      </c>
      <c r="F458">
        <f t="shared" si="14"/>
        <v>3.3275397404547022</v>
      </c>
    </row>
    <row r="459" spans="1:6" x14ac:dyDescent="0.3">
      <c r="A459">
        <v>-1.179691841582553E-2</v>
      </c>
      <c r="F459">
        <f t="shared" si="14"/>
        <v>3.3275463974414752</v>
      </c>
    </row>
    <row r="460" spans="1:6" x14ac:dyDescent="0.3">
      <c r="A460">
        <v>-1.1702264412406738E-2</v>
      </c>
      <c r="F460">
        <f t="shared" si="14"/>
        <v>3.3276290778206383</v>
      </c>
    </row>
    <row r="461" spans="1:6" x14ac:dyDescent="0.3">
      <c r="A461">
        <v>-1.1640285613566448E-2</v>
      </c>
      <c r="F461">
        <f t="shared" si="14"/>
        <v>3.3276820926039115</v>
      </c>
    </row>
    <row r="462" spans="1:6" x14ac:dyDescent="0.3">
      <c r="A462">
        <v>-1.16382030761919E-2</v>
      </c>
      <c r="F462">
        <f t="shared" si="14"/>
        <v>3.3276838584992583</v>
      </c>
    </row>
    <row r="463" spans="1:6" x14ac:dyDescent="0.3">
      <c r="A463">
        <v>-1.1615412907303835E-2</v>
      </c>
      <c r="F463">
        <f t="shared" si="14"/>
        <v>3.3277031178862182</v>
      </c>
    </row>
    <row r="464" spans="1:6" x14ac:dyDescent="0.3">
      <c r="A464">
        <v>-1.1551904223495058E-2</v>
      </c>
      <c r="F464">
        <f t="shared" si="14"/>
        <v>3.3277561529535724</v>
      </c>
    </row>
    <row r="465" spans="1:6" x14ac:dyDescent="0.3">
      <c r="A465">
        <v>-1.1513739252748678E-2</v>
      </c>
      <c r="F465">
        <f t="shared" si="14"/>
        <v>3.327787574662723</v>
      </c>
    </row>
    <row r="466" spans="1:6" x14ac:dyDescent="0.3">
      <c r="A466">
        <v>-1.1362053489619939E-2</v>
      </c>
      <c r="F466">
        <f t="shared" si="14"/>
        <v>3.3279091253404411</v>
      </c>
    </row>
    <row r="467" spans="1:6" x14ac:dyDescent="0.3">
      <c r="A467">
        <v>-1.1348683053912706E-2</v>
      </c>
      <c r="F467">
        <f t="shared" si="14"/>
        <v>3.3279195839789959</v>
      </c>
    </row>
    <row r="468" spans="1:6" x14ac:dyDescent="0.3">
      <c r="A468">
        <v>-1.1300535131169909E-2</v>
      </c>
      <c r="F468">
        <f t="shared" si="14"/>
        <v>3.3279569033376104</v>
      </c>
    </row>
    <row r="469" spans="1:6" x14ac:dyDescent="0.3">
      <c r="A469">
        <v>-1.1198103060024778E-2</v>
      </c>
      <c r="F469">
        <f t="shared" si="14"/>
        <v>3.3280345121899715</v>
      </c>
    </row>
    <row r="470" spans="1:6" x14ac:dyDescent="0.3">
      <c r="A470">
        <v>-1.1139371530191511E-2</v>
      </c>
      <c r="F470">
        <f t="shared" si="14"/>
        <v>3.3280779147255122</v>
      </c>
    </row>
    <row r="471" spans="1:6" x14ac:dyDescent="0.3">
      <c r="A471">
        <v>-1.1032285224293281E-2</v>
      </c>
      <c r="F471">
        <f t="shared" si="14"/>
        <v>3.3281549950231977</v>
      </c>
    </row>
    <row r="472" spans="1:6" x14ac:dyDescent="0.3">
      <c r="A472">
        <v>-1.0932552487020075E-2</v>
      </c>
      <c r="F472">
        <f t="shared" si="14"/>
        <v>3.3282243934067006</v>
      </c>
    </row>
    <row r="473" spans="1:6" x14ac:dyDescent="0.3">
      <c r="A473">
        <v>-1.0679890930077818E-2</v>
      </c>
      <c r="F473">
        <f t="shared" si="14"/>
        <v>3.328389893707612</v>
      </c>
    </row>
    <row r="474" spans="1:6" x14ac:dyDescent="0.3">
      <c r="A474">
        <v>-1.0662918848993286E-2</v>
      </c>
      <c r="F474">
        <f t="shared" si="14"/>
        <v>3.328400480809119</v>
      </c>
    </row>
    <row r="475" spans="1:6" x14ac:dyDescent="0.3">
      <c r="A475">
        <v>-1.0594916472712157E-2</v>
      </c>
      <c r="F475">
        <f t="shared" si="14"/>
        <v>3.3284422309795509</v>
      </c>
    </row>
    <row r="476" spans="1:6" x14ac:dyDescent="0.3">
      <c r="A476">
        <v>-1.0535403275715199E-2</v>
      </c>
      <c r="F476">
        <f t="shared" si="14"/>
        <v>3.3284778900833474</v>
      </c>
    </row>
    <row r="477" spans="1:6" x14ac:dyDescent="0.3">
      <c r="A477">
        <v>-1.0511788516851084E-2</v>
      </c>
      <c r="F477">
        <f t="shared" si="14"/>
        <v>3.3284918121564941</v>
      </c>
    </row>
    <row r="478" spans="1:6" x14ac:dyDescent="0.3">
      <c r="A478">
        <v>-1.045665337601509E-2</v>
      </c>
      <c r="F478">
        <f t="shared" si="14"/>
        <v>3.3285238140541886</v>
      </c>
    </row>
    <row r="479" spans="1:6" x14ac:dyDescent="0.3">
      <c r="A479">
        <v>-1.0330058493195793E-2</v>
      </c>
      <c r="F479">
        <f t="shared" si="14"/>
        <v>3.3285946277389926</v>
      </c>
    </row>
    <row r="480" spans="1:6" x14ac:dyDescent="0.3">
      <c r="A480">
        <v>-1.0300453741592719E-2</v>
      </c>
      <c r="F480">
        <f t="shared" si="14"/>
        <v>3.3286106520643175</v>
      </c>
    </row>
    <row r="481" spans="1:6" x14ac:dyDescent="0.3">
      <c r="A481">
        <v>-1.0069974418655647E-2</v>
      </c>
      <c r="F481">
        <f t="shared" si="14"/>
        <v>3.3287284594474045</v>
      </c>
    </row>
    <row r="482" spans="1:6" x14ac:dyDescent="0.3">
      <c r="A482">
        <v>-1.0054788186110386E-2</v>
      </c>
      <c r="F482">
        <f t="shared" si="14"/>
        <v>3.3287357894701533</v>
      </c>
    </row>
    <row r="483" spans="1:6" x14ac:dyDescent="0.3">
      <c r="A483">
        <v>-1.0050548827621242E-2</v>
      </c>
      <c r="F483">
        <f t="shared" si="14"/>
        <v>3.3287378261622464</v>
      </c>
    </row>
    <row r="484" spans="1:6" x14ac:dyDescent="0.3">
      <c r="A484">
        <v>-9.9586627786152349E-3</v>
      </c>
      <c r="F484">
        <f t="shared" si="14"/>
        <v>3.3287809469944953</v>
      </c>
    </row>
    <row r="485" spans="1:6" x14ac:dyDescent="0.3">
      <c r="A485">
        <v>-9.7698694263783636E-3</v>
      </c>
      <c r="F485">
        <f t="shared" si="14"/>
        <v>3.3288634044979122</v>
      </c>
    </row>
    <row r="486" spans="1:6" x14ac:dyDescent="0.3">
      <c r="A486">
        <v>-9.7355539002137448E-3</v>
      </c>
      <c r="F486">
        <f t="shared" si="14"/>
        <v>3.3288775049377262</v>
      </c>
    </row>
    <row r="487" spans="1:6" x14ac:dyDescent="0.3">
      <c r="A487">
        <v>-9.564899308898589E-3</v>
      </c>
      <c r="F487">
        <f t="shared" si="14"/>
        <v>3.3289435740867757</v>
      </c>
    </row>
    <row r="488" spans="1:6" x14ac:dyDescent="0.3">
      <c r="A488">
        <v>-9.2818067878397414E-3</v>
      </c>
      <c r="F488">
        <f t="shared" si="14"/>
        <v>3.3290382864133048</v>
      </c>
    </row>
    <row r="489" spans="1:6" x14ac:dyDescent="0.3">
      <c r="A489">
        <v>-9.258754389634305E-3</v>
      </c>
      <c r="F489">
        <f t="shared" si="14"/>
        <v>3.3290451809240147</v>
      </c>
    </row>
    <row r="490" spans="1:6" x14ac:dyDescent="0.3">
      <c r="A490">
        <v>-9.2353205220661039E-3</v>
      </c>
      <c r="F490">
        <f t="shared" si="14"/>
        <v>3.3290520632611429</v>
      </c>
    </row>
    <row r="491" spans="1:6" x14ac:dyDescent="0.3">
      <c r="A491">
        <v>-9.2167318126712416E-3</v>
      </c>
      <c r="F491">
        <f t="shared" si="14"/>
        <v>3.3290574320739541</v>
      </c>
    </row>
    <row r="492" spans="1:6" x14ac:dyDescent="0.3">
      <c r="A492">
        <v>-9.1839651033609471E-3</v>
      </c>
      <c r="F492">
        <f t="shared" si="14"/>
        <v>3.3290667007489581</v>
      </c>
    </row>
    <row r="493" spans="1:6" x14ac:dyDescent="0.3">
      <c r="A493">
        <v>-9.1822061024231516E-3</v>
      </c>
      <c r="F493">
        <f t="shared" si="14"/>
        <v>3.329067191275962</v>
      </c>
    </row>
    <row r="494" spans="1:6" x14ac:dyDescent="0.3">
      <c r="A494">
        <v>-9.0093124625241217E-3</v>
      </c>
      <c r="F494">
        <f t="shared" si="14"/>
        <v>3.3291119054980993</v>
      </c>
    </row>
    <row r="495" spans="1:6" x14ac:dyDescent="0.3">
      <c r="A495">
        <v>-8.68488741798501E-3</v>
      </c>
      <c r="F495">
        <f t="shared" si="14"/>
        <v>3.3291771071715912</v>
      </c>
    </row>
    <row r="496" spans="1:6" x14ac:dyDescent="0.3">
      <c r="A496">
        <v>-8.6278228635592313E-3</v>
      </c>
      <c r="F496">
        <f t="shared" si="14"/>
        <v>3.3291860522819166</v>
      </c>
    </row>
    <row r="497" spans="1:6" x14ac:dyDescent="0.3">
      <c r="A497">
        <v>-8.5445810539113154E-3</v>
      </c>
      <c r="F497">
        <f t="shared" si="14"/>
        <v>3.3291977468975995</v>
      </c>
    </row>
    <row r="498" spans="1:6" x14ac:dyDescent="0.3">
      <c r="A498">
        <v>-8.4816106721063989E-3</v>
      </c>
      <c r="F498">
        <f t="shared" si="14"/>
        <v>3.3292055262826663</v>
      </c>
    </row>
    <row r="499" spans="1:6" x14ac:dyDescent="0.3">
      <c r="A499">
        <v>-8.3582163487170291E-3</v>
      </c>
      <c r="F499">
        <f t="shared" si="14"/>
        <v>3.3292181046412317</v>
      </c>
    </row>
    <row r="500" spans="1:6" x14ac:dyDescent="0.3">
      <c r="A500">
        <v>-8.3489442479276477E-3</v>
      </c>
      <c r="F500">
        <f t="shared" si="14"/>
        <v>3.329218907206406</v>
      </c>
    </row>
    <row r="501" spans="1:6" x14ac:dyDescent="0.3">
      <c r="A501">
        <v>-8.3154267691156747E-3</v>
      </c>
      <c r="F501">
        <f t="shared" si="14"/>
        <v>3.329221642119093</v>
      </c>
    </row>
    <row r="502" spans="1:6" x14ac:dyDescent="0.3">
      <c r="A502">
        <v>-8.2948502943517854E-3</v>
      </c>
      <c r="F502">
        <f t="shared" si="14"/>
        <v>3.329223192057666</v>
      </c>
    </row>
    <row r="503" spans="1:6" x14ac:dyDescent="0.3">
      <c r="A503">
        <v>-8.2829428477353417E-3</v>
      </c>
      <c r="F503">
        <f t="shared" si="14"/>
        <v>3.3292240441551146</v>
      </c>
    </row>
    <row r="504" spans="1:6" x14ac:dyDescent="0.3">
      <c r="A504">
        <v>-8.1609907981601282E-3</v>
      </c>
      <c r="F504">
        <f t="shared" si="14"/>
        <v>3.3292308786269746</v>
      </c>
    </row>
    <row r="505" spans="1:6" x14ac:dyDescent="0.3">
      <c r="A505">
        <v>-8.1468624556890745E-3</v>
      </c>
      <c r="F505">
        <f t="shared" si="14"/>
        <v>3.3292314475333589</v>
      </c>
    </row>
    <row r="506" spans="1:6" x14ac:dyDescent="0.3">
      <c r="A506">
        <v>-8.1294797749364989E-3</v>
      </c>
      <c r="F506">
        <f t="shared" si="14"/>
        <v>3.329232083984123</v>
      </c>
    </row>
    <row r="507" spans="1:6" x14ac:dyDescent="0.3">
      <c r="A507">
        <v>-8.1245877755691254E-3</v>
      </c>
      <c r="F507">
        <f t="shared" si="14"/>
        <v>3.3292322504679253</v>
      </c>
    </row>
    <row r="508" spans="1:6" x14ac:dyDescent="0.3">
      <c r="A508">
        <v>-8.1181503412040001E-3</v>
      </c>
      <c r="F508">
        <f t="shared" si="14"/>
        <v>3.3292324610909465</v>
      </c>
    </row>
    <row r="509" spans="1:6" x14ac:dyDescent="0.3">
      <c r="A509">
        <v>-8.0868299748724781E-3</v>
      </c>
      <c r="F509">
        <f t="shared" si="14"/>
        <v>3.3292333487523202</v>
      </c>
    </row>
    <row r="510" spans="1:6" x14ac:dyDescent="0.3">
      <c r="A510">
        <v>-8.0722282800707035E-3</v>
      </c>
      <c r="F510">
        <f t="shared" si="14"/>
        <v>3.3292336848507107</v>
      </c>
    </row>
    <row r="511" spans="1:6" x14ac:dyDescent="0.3">
      <c r="A511">
        <v>-8.0196794085657941E-3</v>
      </c>
      <c r="F511">
        <f t="shared" si="14"/>
        <v>3.3292344853399798</v>
      </c>
    </row>
    <row r="512" spans="1:6" x14ac:dyDescent="0.3">
      <c r="A512">
        <v>-7.8253676620079204E-3</v>
      </c>
      <c r="F512">
        <f t="shared" si="14"/>
        <v>3.3292318845804005</v>
      </c>
    </row>
    <row r="513" spans="1:6" x14ac:dyDescent="0.3">
      <c r="A513">
        <v>-7.7614558299501368E-3</v>
      </c>
      <c r="F513">
        <f t="shared" si="14"/>
        <v>3.3292291159580354</v>
      </c>
    </row>
    <row r="514" spans="1:6" x14ac:dyDescent="0.3">
      <c r="A514">
        <v>-7.7482100268753129E-3</v>
      </c>
      <c r="F514">
        <f t="shared" si="14"/>
        <v>3.3292284236795671</v>
      </c>
    </row>
    <row r="515" spans="1:6" x14ac:dyDescent="0.3">
      <c r="A515">
        <v>-7.6911685823688458E-3</v>
      </c>
      <c r="F515">
        <f t="shared" ref="F515:F578" si="15">_xlfn.NORM.DIST(A515,$J$6,$K$6,FALSE)</f>
        <v>3.3292249776863545</v>
      </c>
    </row>
    <row r="516" spans="1:6" x14ac:dyDescent="0.3">
      <c r="A516">
        <v>-7.5742709788073626E-3</v>
      </c>
      <c r="F516">
        <f t="shared" si="15"/>
        <v>3.3292155585387047</v>
      </c>
    </row>
    <row r="517" spans="1:6" x14ac:dyDescent="0.3">
      <c r="A517">
        <v>-7.5193755446889554E-3</v>
      </c>
      <c r="F517">
        <f t="shared" si="15"/>
        <v>3.3292100420347501</v>
      </c>
    </row>
    <row r="518" spans="1:6" x14ac:dyDescent="0.3">
      <c r="A518">
        <v>-7.4513086622687297E-3</v>
      </c>
      <c r="F518">
        <f t="shared" si="15"/>
        <v>3.3292022316727352</v>
      </c>
    </row>
    <row r="519" spans="1:6" x14ac:dyDescent="0.3">
      <c r="A519">
        <v>-7.4278208629152687E-3</v>
      </c>
      <c r="F519">
        <f t="shared" si="15"/>
        <v>3.3291992872719236</v>
      </c>
    </row>
    <row r="520" spans="1:6" x14ac:dyDescent="0.3">
      <c r="A520">
        <v>-7.4165262426220124E-3</v>
      </c>
      <c r="F520">
        <f t="shared" si="15"/>
        <v>3.3291978258517894</v>
      </c>
    </row>
    <row r="521" spans="1:6" x14ac:dyDescent="0.3">
      <c r="A521">
        <v>-7.2708692061951297E-3</v>
      </c>
      <c r="F521">
        <f t="shared" si="15"/>
        <v>3.3291763290607714</v>
      </c>
    </row>
    <row r="522" spans="1:6" x14ac:dyDescent="0.3">
      <c r="A522">
        <v>-7.1111851736986864E-3</v>
      </c>
      <c r="F522">
        <f t="shared" si="15"/>
        <v>3.3291471100392118</v>
      </c>
    </row>
    <row r="523" spans="1:6" x14ac:dyDescent="0.3">
      <c r="A523">
        <v>-7.0089286940628881E-3</v>
      </c>
      <c r="F523">
        <f t="shared" si="15"/>
        <v>3.3291252942526777</v>
      </c>
    </row>
    <row r="524" spans="1:6" x14ac:dyDescent="0.3">
      <c r="A524">
        <v>-6.9706267920821574E-3</v>
      </c>
      <c r="F524">
        <f t="shared" si="15"/>
        <v>3.3291164987294093</v>
      </c>
    </row>
    <row r="525" spans="1:6" x14ac:dyDescent="0.3">
      <c r="A525">
        <v>-6.8886469816789031E-3</v>
      </c>
      <c r="F525">
        <f t="shared" si="15"/>
        <v>3.3290965301655255</v>
      </c>
    </row>
    <row r="526" spans="1:6" x14ac:dyDescent="0.3">
      <c r="A526">
        <v>-6.8806170103812292E-3</v>
      </c>
      <c r="F526">
        <f t="shared" si="15"/>
        <v>3.329094490453798</v>
      </c>
    </row>
    <row r="527" spans="1:6" x14ac:dyDescent="0.3">
      <c r="A527">
        <v>-6.8201047679394833E-3</v>
      </c>
      <c r="F527">
        <f t="shared" si="15"/>
        <v>3.3290786388385714</v>
      </c>
    </row>
    <row r="528" spans="1:6" x14ac:dyDescent="0.3">
      <c r="A528">
        <v>-6.7570118728781381E-3</v>
      </c>
      <c r="F528">
        <f t="shared" si="15"/>
        <v>3.329061207264397</v>
      </c>
    </row>
    <row r="529" spans="1:6" x14ac:dyDescent="0.3">
      <c r="A529">
        <v>-6.7387488725785261E-3</v>
      </c>
      <c r="F529">
        <f t="shared" si="15"/>
        <v>3.3290559892669864</v>
      </c>
    </row>
    <row r="530" spans="1:6" x14ac:dyDescent="0.3">
      <c r="A530">
        <v>-6.7385369295607234E-3</v>
      </c>
      <c r="F530">
        <f t="shared" si="15"/>
        <v>3.3290559282580161</v>
      </c>
    </row>
    <row r="531" spans="1:6" x14ac:dyDescent="0.3">
      <c r="A531">
        <v>-6.6808496902979186E-3</v>
      </c>
      <c r="F531">
        <f t="shared" si="15"/>
        <v>3.3290389355312575</v>
      </c>
    </row>
    <row r="532" spans="1:6" x14ac:dyDescent="0.3">
      <c r="A532">
        <v>-6.6307596364421073E-3</v>
      </c>
      <c r="F532">
        <f t="shared" si="15"/>
        <v>3.3290235549526996</v>
      </c>
    </row>
    <row r="533" spans="1:6" x14ac:dyDescent="0.3">
      <c r="A533">
        <v>-6.466049146865771E-3</v>
      </c>
      <c r="F533">
        <f t="shared" si="15"/>
        <v>3.3289688785451776</v>
      </c>
    </row>
    <row r="534" spans="1:6" x14ac:dyDescent="0.3">
      <c r="A534">
        <v>-6.4268891769643233E-3</v>
      </c>
      <c r="F534">
        <f t="shared" si="15"/>
        <v>3.3289549539150349</v>
      </c>
    </row>
    <row r="535" spans="1:6" x14ac:dyDescent="0.3">
      <c r="A535">
        <v>-6.4038208637953176E-3</v>
      </c>
      <c r="F535">
        <f t="shared" si="15"/>
        <v>3.3289465848376563</v>
      </c>
    </row>
    <row r="536" spans="1:6" x14ac:dyDescent="0.3">
      <c r="A536">
        <v>-6.362952287361931E-3</v>
      </c>
      <c r="F536">
        <f t="shared" si="15"/>
        <v>3.3289314550689584</v>
      </c>
    </row>
    <row r="537" spans="1:6" x14ac:dyDescent="0.3">
      <c r="A537">
        <v>-6.3493030103245474E-3</v>
      </c>
      <c r="F537">
        <f t="shared" si="15"/>
        <v>3.3289263157914837</v>
      </c>
    </row>
    <row r="538" spans="1:6" x14ac:dyDescent="0.3">
      <c r="A538">
        <v>-6.3405092788570983E-3</v>
      </c>
      <c r="F538">
        <f t="shared" si="15"/>
        <v>3.3289229818697397</v>
      </c>
    </row>
    <row r="539" spans="1:6" x14ac:dyDescent="0.3">
      <c r="A539">
        <v>-6.2294242384837162E-3</v>
      </c>
      <c r="F539">
        <f t="shared" si="15"/>
        <v>3.3288793234629979</v>
      </c>
    </row>
    <row r="540" spans="1:6" x14ac:dyDescent="0.3">
      <c r="A540">
        <v>-6.2130017471081489E-3</v>
      </c>
      <c r="F540">
        <f t="shared" si="15"/>
        <v>3.328872626455976</v>
      </c>
    </row>
    <row r="541" spans="1:6" x14ac:dyDescent="0.3">
      <c r="A541">
        <v>-6.1758740635013964E-3</v>
      </c>
      <c r="F541">
        <f t="shared" si="15"/>
        <v>3.3288572555698965</v>
      </c>
    </row>
    <row r="542" spans="1:6" x14ac:dyDescent="0.3">
      <c r="A542">
        <v>-6.0610859415639595E-3</v>
      </c>
      <c r="F542">
        <f t="shared" si="15"/>
        <v>3.3288077123743625</v>
      </c>
    </row>
    <row r="543" spans="1:6" x14ac:dyDescent="0.3">
      <c r="A543">
        <v>-6.05075936709909E-3</v>
      </c>
      <c r="F543">
        <f t="shared" si="15"/>
        <v>3.3288031056447327</v>
      </c>
    </row>
    <row r="544" spans="1:6" x14ac:dyDescent="0.3">
      <c r="A544">
        <v>-6.0481568604160429E-3</v>
      </c>
      <c r="F544">
        <f t="shared" si="15"/>
        <v>3.3288019407560325</v>
      </c>
    </row>
    <row r="545" spans="1:6" x14ac:dyDescent="0.3">
      <c r="A545">
        <v>-6.0385010672803219E-3</v>
      </c>
      <c r="F545">
        <f t="shared" si="15"/>
        <v>3.3287976050820078</v>
      </c>
    </row>
    <row r="546" spans="1:6" x14ac:dyDescent="0.3">
      <c r="A546">
        <v>-5.8936307350450079E-3</v>
      </c>
      <c r="F546">
        <f t="shared" si="15"/>
        <v>3.3287299608668519</v>
      </c>
    </row>
    <row r="547" spans="1:6" x14ac:dyDescent="0.3">
      <c r="A547">
        <v>-5.7937788790029948E-3</v>
      </c>
      <c r="F547">
        <f t="shared" si="15"/>
        <v>3.3286805055933595</v>
      </c>
    </row>
    <row r="548" spans="1:6" x14ac:dyDescent="0.3">
      <c r="A548">
        <v>-5.5892606454222005E-3</v>
      </c>
      <c r="F548">
        <f t="shared" si="15"/>
        <v>3.3285719978593487</v>
      </c>
    </row>
    <row r="549" spans="1:6" x14ac:dyDescent="0.3">
      <c r="A549">
        <v>-5.5618839886619753E-3</v>
      </c>
      <c r="F549">
        <f t="shared" si="15"/>
        <v>3.3285567375531762</v>
      </c>
    </row>
    <row r="550" spans="1:6" x14ac:dyDescent="0.3">
      <c r="A550">
        <v>-5.4795776420633047E-3</v>
      </c>
      <c r="F550">
        <f t="shared" si="15"/>
        <v>3.3285098124281394</v>
      </c>
    </row>
    <row r="551" spans="1:6" x14ac:dyDescent="0.3">
      <c r="A551">
        <v>-5.3835303858704719E-3</v>
      </c>
      <c r="F551">
        <f t="shared" si="15"/>
        <v>3.328453068666446</v>
      </c>
    </row>
    <row r="552" spans="1:6" x14ac:dyDescent="0.3">
      <c r="A552">
        <v>-5.2401875680061494E-3</v>
      </c>
      <c r="F552">
        <f t="shared" si="15"/>
        <v>3.3283644079912955</v>
      </c>
    </row>
    <row r="553" spans="1:6" x14ac:dyDescent="0.3">
      <c r="A553">
        <v>-5.2251155973843666E-3</v>
      </c>
      <c r="F553">
        <f t="shared" si="15"/>
        <v>3.3283548090684003</v>
      </c>
    </row>
    <row r="554" spans="1:6" x14ac:dyDescent="0.3">
      <c r="A554">
        <v>-5.1891438025677417E-3</v>
      </c>
      <c r="F554">
        <f t="shared" si="15"/>
        <v>3.3283316869358304</v>
      </c>
    </row>
    <row r="555" spans="1:6" x14ac:dyDescent="0.3">
      <c r="A555">
        <v>-5.1724178377980934E-3</v>
      </c>
      <c r="F555">
        <f t="shared" si="15"/>
        <v>3.3283208336380619</v>
      </c>
    </row>
    <row r="556" spans="1:6" x14ac:dyDescent="0.3">
      <c r="A556">
        <v>-4.9911988121493778E-3</v>
      </c>
      <c r="F556">
        <f t="shared" si="15"/>
        <v>3.3281990876815475</v>
      </c>
    </row>
    <row r="557" spans="1:6" x14ac:dyDescent="0.3">
      <c r="A557">
        <v>-4.9750744133802982E-3</v>
      </c>
      <c r="F557">
        <f t="shared" si="15"/>
        <v>3.3281878864903494</v>
      </c>
    </row>
    <row r="558" spans="1:6" x14ac:dyDescent="0.3">
      <c r="A558">
        <v>-4.9438726708217473E-3</v>
      </c>
      <c r="F558">
        <f t="shared" si="15"/>
        <v>3.3281660404472602</v>
      </c>
    </row>
    <row r="559" spans="1:6" x14ac:dyDescent="0.3">
      <c r="A559">
        <v>-4.8931926712043605E-3</v>
      </c>
      <c r="F559">
        <f t="shared" si="15"/>
        <v>3.3281300760100496</v>
      </c>
    </row>
    <row r="560" spans="1:6" x14ac:dyDescent="0.3">
      <c r="A560">
        <v>-4.8888203140222686E-3</v>
      </c>
      <c r="F560">
        <f t="shared" si="15"/>
        <v>3.3281269453436244</v>
      </c>
    </row>
    <row r="561" spans="1:6" x14ac:dyDescent="0.3">
      <c r="A561">
        <v>-4.6979363860799594E-3</v>
      </c>
      <c r="F561">
        <f t="shared" si="15"/>
        <v>3.3279859536442324</v>
      </c>
    </row>
    <row r="562" spans="1:6" x14ac:dyDescent="0.3">
      <c r="A562">
        <v>-4.6967899072853925E-3</v>
      </c>
      <c r="F562">
        <f t="shared" si="15"/>
        <v>3.3279850813313487</v>
      </c>
    </row>
    <row r="563" spans="1:6" x14ac:dyDescent="0.3">
      <c r="A563">
        <v>-4.6630518254344722E-3</v>
      </c>
      <c r="F563">
        <f t="shared" si="15"/>
        <v>3.3279592750014659</v>
      </c>
    </row>
    <row r="564" spans="1:6" x14ac:dyDescent="0.3">
      <c r="A564">
        <v>-4.6314631442783138E-3</v>
      </c>
      <c r="F564">
        <f t="shared" si="15"/>
        <v>3.3279348738029455</v>
      </c>
    </row>
    <row r="565" spans="1:6" x14ac:dyDescent="0.3">
      <c r="A565">
        <v>-4.6256586402932953E-3</v>
      </c>
      <c r="F565">
        <f t="shared" si="15"/>
        <v>3.3279303648855434</v>
      </c>
    </row>
    <row r="566" spans="1:6" x14ac:dyDescent="0.3">
      <c r="A566">
        <v>-4.6255002314410376E-3</v>
      </c>
      <c r="F566">
        <f t="shared" si="15"/>
        <v>3.3279302417247547</v>
      </c>
    </row>
    <row r="567" spans="1:6" x14ac:dyDescent="0.3">
      <c r="A567">
        <v>-4.5015465902054075E-3</v>
      </c>
      <c r="F567">
        <f t="shared" si="15"/>
        <v>3.327832088124258</v>
      </c>
    </row>
    <row r="568" spans="1:6" x14ac:dyDescent="0.3">
      <c r="A568">
        <v>-4.3968670902927443E-3</v>
      </c>
      <c r="F568">
        <f t="shared" si="15"/>
        <v>3.3277464258930105</v>
      </c>
    </row>
    <row r="569" spans="1:6" x14ac:dyDescent="0.3">
      <c r="A569">
        <v>-4.3004179980243862E-3</v>
      </c>
      <c r="F569">
        <f t="shared" si="15"/>
        <v>3.3276652530292172</v>
      </c>
    </row>
    <row r="570" spans="1:6" x14ac:dyDescent="0.3">
      <c r="A570">
        <v>-4.1439569207994964E-3</v>
      </c>
      <c r="F570">
        <f t="shared" si="15"/>
        <v>3.3275289925387219</v>
      </c>
    </row>
    <row r="571" spans="1:6" x14ac:dyDescent="0.3">
      <c r="A571">
        <v>-4.124651709958016E-3</v>
      </c>
      <c r="F571">
        <f t="shared" si="15"/>
        <v>3.3275117870384441</v>
      </c>
    </row>
    <row r="572" spans="1:6" x14ac:dyDescent="0.3">
      <c r="A572">
        <v>-4.1116624640430838E-3</v>
      </c>
      <c r="F572">
        <f t="shared" si="15"/>
        <v>3.3275001620003755</v>
      </c>
    </row>
    <row r="573" spans="1:6" x14ac:dyDescent="0.3">
      <c r="A573">
        <v>-3.9696134152222839E-3</v>
      </c>
      <c r="F573">
        <f t="shared" si="15"/>
        <v>3.3273704828101272</v>
      </c>
    </row>
    <row r="574" spans="1:6" x14ac:dyDescent="0.3">
      <c r="A574">
        <v>-3.9606508560154907E-3</v>
      </c>
      <c r="F574">
        <f t="shared" si="15"/>
        <v>3.3273621440817549</v>
      </c>
    </row>
    <row r="575" spans="1:6" x14ac:dyDescent="0.3">
      <c r="A575">
        <v>-3.7899273472703499E-3</v>
      </c>
      <c r="F575">
        <f t="shared" si="15"/>
        <v>3.3271997535525308</v>
      </c>
    </row>
    <row r="576" spans="1:6" x14ac:dyDescent="0.3">
      <c r="A576">
        <v>-3.7284045955061629E-3</v>
      </c>
      <c r="F576">
        <f t="shared" si="15"/>
        <v>3.3271395802893098</v>
      </c>
    </row>
    <row r="577" spans="1:6" x14ac:dyDescent="0.3">
      <c r="A577">
        <v>-3.6857435658248505E-3</v>
      </c>
      <c r="F577">
        <f t="shared" si="15"/>
        <v>3.3270973407440652</v>
      </c>
    </row>
    <row r="578" spans="1:6" x14ac:dyDescent="0.3">
      <c r="A578">
        <v>-3.6688673621370071E-3</v>
      </c>
      <c r="F578">
        <f t="shared" si="15"/>
        <v>3.3270805150193774</v>
      </c>
    </row>
    <row r="579" spans="1:6" x14ac:dyDescent="0.3">
      <c r="A579">
        <v>-3.6639518368986046E-3</v>
      </c>
      <c r="F579">
        <f t="shared" ref="F579:F642" si="16">_xlfn.NORM.DIST(A579,$J$6,$K$6,FALSE)</f>
        <v>3.3270756018033913</v>
      </c>
    </row>
    <row r="580" spans="1:6" x14ac:dyDescent="0.3">
      <c r="A580">
        <v>-3.5697345983933815E-3</v>
      </c>
      <c r="F580">
        <f t="shared" si="16"/>
        <v>3.3269803482060438</v>
      </c>
    </row>
    <row r="581" spans="1:6" x14ac:dyDescent="0.3">
      <c r="A581">
        <v>-3.5261650871802885E-3</v>
      </c>
      <c r="F581">
        <f t="shared" si="16"/>
        <v>3.3269356049048047</v>
      </c>
    </row>
    <row r="582" spans="1:6" x14ac:dyDescent="0.3">
      <c r="A582">
        <v>-3.3258970070164651E-3</v>
      </c>
      <c r="F582">
        <f t="shared" si="16"/>
        <v>3.3267242924495717</v>
      </c>
    </row>
    <row r="583" spans="1:6" x14ac:dyDescent="0.3">
      <c r="A583">
        <v>-3.1990324321213848E-3</v>
      </c>
      <c r="F583">
        <f t="shared" si="16"/>
        <v>3.3265856311886548</v>
      </c>
    </row>
    <row r="584" spans="1:6" x14ac:dyDescent="0.3">
      <c r="A584">
        <v>-3.1981470125970191E-3</v>
      </c>
      <c r="F584">
        <f t="shared" si="16"/>
        <v>3.3265846503551328</v>
      </c>
    </row>
    <row r="585" spans="1:6" x14ac:dyDescent="0.3">
      <c r="A585">
        <v>-3.1659990772254787E-3</v>
      </c>
      <c r="F585">
        <f t="shared" si="16"/>
        <v>3.3265489153015122</v>
      </c>
    </row>
    <row r="586" spans="1:6" x14ac:dyDescent="0.3">
      <c r="A586">
        <v>-3.0593006849244375E-3</v>
      </c>
      <c r="F586">
        <f t="shared" si="16"/>
        <v>3.3264285981142248</v>
      </c>
    </row>
    <row r="587" spans="1:6" x14ac:dyDescent="0.3">
      <c r="A587">
        <v>-2.9569698094746855E-3</v>
      </c>
      <c r="F587">
        <f t="shared" si="16"/>
        <v>3.3263107324838992</v>
      </c>
    </row>
    <row r="588" spans="1:6" x14ac:dyDescent="0.3">
      <c r="A588">
        <v>-2.9488846610092878E-3</v>
      </c>
      <c r="F588">
        <f t="shared" si="16"/>
        <v>3.3263013167146367</v>
      </c>
    </row>
    <row r="589" spans="1:6" x14ac:dyDescent="0.3">
      <c r="A589">
        <v>-2.9447170031744463E-3</v>
      </c>
      <c r="F589">
        <f t="shared" si="16"/>
        <v>3.3262964572564382</v>
      </c>
    </row>
    <row r="590" spans="1:6" x14ac:dyDescent="0.3">
      <c r="A590">
        <v>-2.9333821264003745E-3</v>
      </c>
      <c r="F590">
        <f t="shared" si="16"/>
        <v>3.3262832205574147</v>
      </c>
    </row>
    <row r="591" spans="1:6" x14ac:dyDescent="0.3">
      <c r="A591">
        <v>-2.9134154090115771E-3</v>
      </c>
      <c r="F591">
        <f t="shared" si="16"/>
        <v>3.3262598314643181</v>
      </c>
    </row>
    <row r="592" spans="1:6" x14ac:dyDescent="0.3">
      <c r="A592">
        <v>-2.9089189017952322E-3</v>
      </c>
      <c r="F592">
        <f t="shared" si="16"/>
        <v>3.326254551519956</v>
      </c>
    </row>
    <row r="593" spans="1:6" x14ac:dyDescent="0.3">
      <c r="A593">
        <v>-2.7221158208590168E-3</v>
      </c>
      <c r="F593">
        <f t="shared" si="16"/>
        <v>3.3260310700063305</v>
      </c>
    </row>
    <row r="594" spans="1:6" x14ac:dyDescent="0.3">
      <c r="A594">
        <v>-2.6733767762721072E-3</v>
      </c>
      <c r="F594">
        <f t="shared" si="16"/>
        <v>3.3259714340676201</v>
      </c>
    </row>
    <row r="595" spans="1:6" x14ac:dyDescent="0.3">
      <c r="A595">
        <v>-2.6090577517408065E-3</v>
      </c>
      <c r="F595">
        <f t="shared" si="16"/>
        <v>3.3258918943247084</v>
      </c>
    </row>
    <row r="596" spans="1:6" x14ac:dyDescent="0.3">
      <c r="A596">
        <v>-2.5898617656191503E-3</v>
      </c>
      <c r="F596">
        <f t="shared" si="16"/>
        <v>3.325867970429945</v>
      </c>
    </row>
    <row r="597" spans="1:6" x14ac:dyDescent="0.3">
      <c r="A597">
        <v>-2.5591704838916485E-3</v>
      </c>
      <c r="F597">
        <f t="shared" si="16"/>
        <v>3.3258295430292009</v>
      </c>
    </row>
    <row r="598" spans="1:6" x14ac:dyDescent="0.3">
      <c r="A598">
        <v>-2.4801449594065161E-3</v>
      </c>
      <c r="F598">
        <f t="shared" si="16"/>
        <v>3.3257295961072937</v>
      </c>
    </row>
    <row r="599" spans="1:6" x14ac:dyDescent="0.3">
      <c r="A599">
        <v>-2.4630031045091982E-3</v>
      </c>
      <c r="F599">
        <f t="shared" si="16"/>
        <v>3.3257077255740226</v>
      </c>
    </row>
    <row r="600" spans="1:6" x14ac:dyDescent="0.3">
      <c r="A600">
        <v>-2.3929644439704134E-3</v>
      </c>
      <c r="F600">
        <f t="shared" si="16"/>
        <v>3.325617660764479</v>
      </c>
    </row>
    <row r="601" spans="1:6" x14ac:dyDescent="0.3">
      <c r="A601">
        <v>-1.9905437059151154E-3</v>
      </c>
      <c r="F601">
        <f t="shared" si="16"/>
        <v>3.3250782097750453</v>
      </c>
    </row>
    <row r="602" spans="1:6" x14ac:dyDescent="0.3">
      <c r="A602">
        <v>-1.9654378727829158E-3</v>
      </c>
      <c r="F602">
        <f t="shared" si="16"/>
        <v>3.3250433152105048</v>
      </c>
    </row>
    <row r="603" spans="1:6" x14ac:dyDescent="0.3">
      <c r="A603">
        <v>-1.9417914844623851E-3</v>
      </c>
      <c r="F603">
        <f t="shared" si="16"/>
        <v>3.3250103159890454</v>
      </c>
    </row>
    <row r="604" spans="1:6" x14ac:dyDescent="0.3">
      <c r="A604">
        <v>-1.8283378186652044E-3</v>
      </c>
      <c r="F604">
        <f t="shared" si="16"/>
        <v>3.3248501918530131</v>
      </c>
    </row>
    <row r="605" spans="1:6" x14ac:dyDescent="0.3">
      <c r="A605">
        <v>-1.8182788647322923E-3</v>
      </c>
      <c r="F605">
        <f t="shared" si="16"/>
        <v>3.3248358515670398</v>
      </c>
    </row>
    <row r="606" spans="1:6" x14ac:dyDescent="0.3">
      <c r="A606">
        <v>-1.812384440711412E-3</v>
      </c>
      <c r="F606">
        <f t="shared" si="16"/>
        <v>3.3248274374766891</v>
      </c>
    </row>
    <row r="607" spans="1:6" x14ac:dyDescent="0.3">
      <c r="A607">
        <v>-1.719266570887612E-3</v>
      </c>
      <c r="F607">
        <f t="shared" si="16"/>
        <v>3.3246934503373491</v>
      </c>
    </row>
    <row r="608" spans="1:6" x14ac:dyDescent="0.3">
      <c r="A608">
        <v>-1.7012566061964662E-3</v>
      </c>
      <c r="F608">
        <f t="shared" si="16"/>
        <v>3.3246673047557773</v>
      </c>
    </row>
    <row r="609" spans="1:6" x14ac:dyDescent="0.3">
      <c r="A609">
        <v>-1.5089469347913109E-3</v>
      </c>
      <c r="F609">
        <f t="shared" si="16"/>
        <v>3.3243834541207629</v>
      </c>
    </row>
    <row r="610" spans="1:6" x14ac:dyDescent="0.3">
      <c r="A610">
        <v>-1.3459994810180453E-3</v>
      </c>
      <c r="F610">
        <f t="shared" si="16"/>
        <v>3.3241362608067506</v>
      </c>
    </row>
    <row r="611" spans="1:6" x14ac:dyDescent="0.3">
      <c r="A611">
        <v>-1.3182678906105139E-3</v>
      </c>
      <c r="F611">
        <f t="shared" si="16"/>
        <v>3.3240935814155388</v>
      </c>
    </row>
    <row r="612" spans="1:6" x14ac:dyDescent="0.3">
      <c r="A612">
        <v>-1.2818449811220489E-3</v>
      </c>
      <c r="F612">
        <f t="shared" si="16"/>
        <v>3.3240372563062706</v>
      </c>
    </row>
    <row r="613" spans="1:6" x14ac:dyDescent="0.3">
      <c r="A613">
        <v>-1.0869113148146425E-3</v>
      </c>
      <c r="F613">
        <f t="shared" si="16"/>
        <v>3.3237306036867942</v>
      </c>
    </row>
    <row r="614" spans="1:6" x14ac:dyDescent="0.3">
      <c r="A614">
        <v>-1.0509746669669084E-3</v>
      </c>
      <c r="F614">
        <f t="shared" si="16"/>
        <v>3.3236731141771068</v>
      </c>
    </row>
    <row r="615" spans="1:6" x14ac:dyDescent="0.3">
      <c r="A615">
        <v>-7.791988201120148E-4</v>
      </c>
      <c r="F615">
        <f t="shared" si="16"/>
        <v>3.3232286967104039</v>
      </c>
    </row>
    <row r="616" spans="1:6" x14ac:dyDescent="0.3">
      <c r="A616">
        <v>-7.4565044661767388E-4</v>
      </c>
      <c r="F616">
        <f t="shared" si="16"/>
        <v>3.3231726560560118</v>
      </c>
    </row>
    <row r="617" spans="1:6" x14ac:dyDescent="0.3">
      <c r="A617">
        <v>-6.4340499460513456E-4</v>
      </c>
      <c r="F617">
        <f t="shared" si="16"/>
        <v>3.3230002601126958</v>
      </c>
    </row>
    <row r="618" spans="1:6" x14ac:dyDescent="0.3">
      <c r="A618">
        <v>-6.0066485161769378E-4</v>
      </c>
      <c r="F618">
        <f t="shared" si="16"/>
        <v>3.3229274816535055</v>
      </c>
    </row>
    <row r="619" spans="1:6" x14ac:dyDescent="0.3">
      <c r="A619">
        <v>-5.1092352900994342E-4</v>
      </c>
      <c r="F619">
        <f t="shared" si="16"/>
        <v>3.3227732985908665</v>
      </c>
    </row>
    <row r="620" spans="1:6" x14ac:dyDescent="0.3">
      <c r="A620">
        <v>-4.978035119620472E-4</v>
      </c>
      <c r="F620">
        <f t="shared" si="16"/>
        <v>3.3227506017656578</v>
      </c>
    </row>
    <row r="621" spans="1:6" x14ac:dyDescent="0.3">
      <c r="A621">
        <v>-4.921653701330797E-4</v>
      </c>
      <c r="F621">
        <f t="shared" si="16"/>
        <v>3.3227408359369335</v>
      </c>
    </row>
    <row r="622" spans="1:6" x14ac:dyDescent="0.3">
      <c r="A622">
        <v>-4.2409309332924749E-4</v>
      </c>
      <c r="F622">
        <f t="shared" si="16"/>
        <v>3.3226223496498908</v>
      </c>
    </row>
    <row r="623" spans="1:6" x14ac:dyDescent="0.3">
      <c r="A623">
        <v>-2.3897702408248733E-4</v>
      </c>
      <c r="F623">
        <f t="shared" si="16"/>
        <v>3.3222947367827387</v>
      </c>
    </row>
    <row r="624" spans="1:6" x14ac:dyDescent="0.3">
      <c r="A624">
        <v>-2.2076720529184968E-4</v>
      </c>
      <c r="F624">
        <f t="shared" si="16"/>
        <v>3.3222620830142464</v>
      </c>
    </row>
    <row r="625" spans="1:6" x14ac:dyDescent="0.3">
      <c r="A625">
        <v>-1.3857175983056358E-4</v>
      </c>
      <c r="F625">
        <f t="shared" si="16"/>
        <v>3.32211373981061</v>
      </c>
    </row>
    <row r="626" spans="1:6" x14ac:dyDescent="0.3">
      <c r="A626">
        <v>7.0700558580938377E-6</v>
      </c>
      <c r="F626">
        <f t="shared" si="16"/>
        <v>3.3218470690689599</v>
      </c>
    </row>
    <row r="627" spans="1:6" x14ac:dyDescent="0.3">
      <c r="A627">
        <v>2.2691036797084507E-5</v>
      </c>
      <c r="F627">
        <f t="shared" si="16"/>
        <v>3.321818176883883</v>
      </c>
    </row>
    <row r="628" spans="1:6" x14ac:dyDescent="0.3">
      <c r="A628">
        <v>1.2568380611810426E-4</v>
      </c>
      <c r="F628">
        <f t="shared" si="16"/>
        <v>3.3216262772970704</v>
      </c>
    </row>
    <row r="629" spans="1:6" x14ac:dyDescent="0.3">
      <c r="A629">
        <v>1.9535981240714761E-4</v>
      </c>
      <c r="F629">
        <f t="shared" si="16"/>
        <v>3.3214950694529524</v>
      </c>
    </row>
    <row r="630" spans="1:6" x14ac:dyDescent="0.3">
      <c r="A630">
        <v>2.512244367949279E-4</v>
      </c>
      <c r="F630">
        <f t="shared" si="16"/>
        <v>3.32138906264551</v>
      </c>
    </row>
    <row r="631" spans="1:6" x14ac:dyDescent="0.3">
      <c r="A631">
        <v>2.9851384806534043E-4</v>
      </c>
      <c r="F631">
        <f t="shared" si="16"/>
        <v>3.321298766361497</v>
      </c>
    </row>
    <row r="632" spans="1:6" x14ac:dyDescent="0.3">
      <c r="A632">
        <v>3.0406872610910796E-4</v>
      </c>
      <c r="F632">
        <f t="shared" si="16"/>
        <v>3.3212881258691054</v>
      </c>
    </row>
    <row r="633" spans="1:6" x14ac:dyDescent="0.3">
      <c r="A633">
        <v>3.1010866692326999E-4</v>
      </c>
      <c r="F633">
        <f t="shared" si="16"/>
        <v>3.3212765481677096</v>
      </c>
    </row>
    <row r="634" spans="1:6" x14ac:dyDescent="0.3">
      <c r="A634">
        <v>3.3379063785332619E-4</v>
      </c>
      <c r="F634">
        <f t="shared" si="16"/>
        <v>3.3212310722094336</v>
      </c>
    </row>
    <row r="635" spans="1:6" x14ac:dyDescent="0.3">
      <c r="A635">
        <v>4.0413729402644094E-4</v>
      </c>
      <c r="F635">
        <f t="shared" si="16"/>
        <v>3.3210952258399429</v>
      </c>
    </row>
    <row r="636" spans="1:6" x14ac:dyDescent="0.3">
      <c r="A636">
        <v>5.4603937155661697E-4</v>
      </c>
      <c r="F636">
        <f t="shared" si="16"/>
        <v>3.3208177330500774</v>
      </c>
    </row>
    <row r="637" spans="1:6" x14ac:dyDescent="0.3">
      <c r="A637">
        <v>6.1267910660944835E-4</v>
      </c>
      <c r="F637">
        <f t="shared" si="16"/>
        <v>3.3206858185948778</v>
      </c>
    </row>
    <row r="638" spans="1:6" x14ac:dyDescent="0.3">
      <c r="A638">
        <v>7.1595561297499444E-4</v>
      </c>
      <c r="F638">
        <f t="shared" si="16"/>
        <v>3.3204793624276174</v>
      </c>
    </row>
    <row r="639" spans="1:6" x14ac:dyDescent="0.3">
      <c r="A639">
        <v>1.0307574298735744E-3</v>
      </c>
      <c r="F639">
        <f t="shared" si="16"/>
        <v>3.319834918915384</v>
      </c>
    </row>
    <row r="640" spans="1:6" x14ac:dyDescent="0.3">
      <c r="A640">
        <v>1.0467966622940139E-3</v>
      </c>
      <c r="F640">
        <f t="shared" si="16"/>
        <v>3.319801474289628</v>
      </c>
    </row>
    <row r="641" spans="1:6" x14ac:dyDescent="0.3">
      <c r="A641">
        <v>1.0784256245579549E-3</v>
      </c>
      <c r="F641">
        <f t="shared" si="16"/>
        <v>3.3197353490341843</v>
      </c>
    </row>
    <row r="642" spans="1:6" x14ac:dyDescent="0.3">
      <c r="A642">
        <v>1.086637397065715E-3</v>
      </c>
      <c r="F642">
        <f t="shared" si="16"/>
        <v>3.3197181434459098</v>
      </c>
    </row>
    <row r="643" spans="1:6" x14ac:dyDescent="0.3">
      <c r="A643">
        <v>1.0880856185337962E-3</v>
      </c>
      <c r="F643">
        <f t="shared" ref="F643:F706" si="17">_xlfn.NORM.DIST(A643,$J$6,$K$6,FALSE)</f>
        <v>3.3197151074745626</v>
      </c>
    </row>
    <row r="644" spans="1:6" x14ac:dyDescent="0.3">
      <c r="A644">
        <v>1.093820950927693E-3</v>
      </c>
      <c r="F644">
        <f t="shared" si="17"/>
        <v>3.3197030795058584</v>
      </c>
    </row>
    <row r="645" spans="1:6" x14ac:dyDescent="0.3">
      <c r="A645">
        <v>1.1826403646182371E-3</v>
      </c>
      <c r="F645">
        <f t="shared" si="17"/>
        <v>3.3195158448893336</v>
      </c>
    </row>
    <row r="646" spans="1:6" x14ac:dyDescent="0.3">
      <c r="A646">
        <v>1.3519250406532138E-3</v>
      </c>
      <c r="F646">
        <f t="shared" si="17"/>
        <v>3.3191539659052145</v>
      </c>
    </row>
    <row r="647" spans="1:6" x14ac:dyDescent="0.3">
      <c r="A647">
        <v>1.3672708811572065E-3</v>
      </c>
      <c r="F647">
        <f t="shared" si="17"/>
        <v>3.3191208356726598</v>
      </c>
    </row>
    <row r="648" spans="1:6" x14ac:dyDescent="0.3">
      <c r="A648">
        <v>1.4739224903905779E-3</v>
      </c>
      <c r="F648">
        <f t="shared" si="17"/>
        <v>3.318889090311024</v>
      </c>
    </row>
    <row r="649" spans="1:6" x14ac:dyDescent="0.3">
      <c r="A649">
        <v>1.4896108837660904E-3</v>
      </c>
      <c r="F649">
        <f t="shared" si="17"/>
        <v>3.318854780253965</v>
      </c>
    </row>
    <row r="650" spans="1:6" x14ac:dyDescent="0.3">
      <c r="A650">
        <v>1.566186622881105E-3</v>
      </c>
      <c r="F650">
        <f t="shared" si="17"/>
        <v>3.3186864999958829</v>
      </c>
    </row>
    <row r="651" spans="1:6" x14ac:dyDescent="0.3">
      <c r="A651">
        <v>1.5669872559556097E-3</v>
      </c>
      <c r="F651">
        <f t="shared" si="17"/>
        <v>3.3186847334378462</v>
      </c>
    </row>
    <row r="652" spans="1:6" x14ac:dyDescent="0.3">
      <c r="A652">
        <v>1.5745737235874913E-3</v>
      </c>
      <c r="F652">
        <f t="shared" si="17"/>
        <v>3.3186679869589213</v>
      </c>
    </row>
    <row r="653" spans="1:6" x14ac:dyDescent="0.3">
      <c r="A653">
        <v>1.6684066979451018E-3</v>
      </c>
      <c r="F653">
        <f t="shared" si="17"/>
        <v>3.3184597660298158</v>
      </c>
    </row>
    <row r="654" spans="1:6" x14ac:dyDescent="0.3">
      <c r="A654">
        <v>1.6793908212093811E-3</v>
      </c>
      <c r="F654">
        <f t="shared" si="17"/>
        <v>3.3184352594276123</v>
      </c>
    </row>
    <row r="655" spans="1:6" x14ac:dyDescent="0.3">
      <c r="A655">
        <v>1.7155212293857858E-3</v>
      </c>
      <c r="F655">
        <f t="shared" si="17"/>
        <v>3.3183544537048966</v>
      </c>
    </row>
    <row r="656" spans="1:6" x14ac:dyDescent="0.3">
      <c r="A656">
        <v>1.7399354526901334E-3</v>
      </c>
      <c r="F656">
        <f t="shared" si="17"/>
        <v>3.318299681570597</v>
      </c>
    </row>
    <row r="657" spans="1:6" x14ac:dyDescent="0.3">
      <c r="A657">
        <v>1.9285111595763738E-3</v>
      </c>
      <c r="F657">
        <f t="shared" si="17"/>
        <v>3.3178720112397748</v>
      </c>
    </row>
    <row r="658" spans="1:6" x14ac:dyDescent="0.3">
      <c r="A658">
        <v>2.0313390570887435E-3</v>
      </c>
      <c r="F658">
        <f t="shared" si="17"/>
        <v>3.3176353697819949</v>
      </c>
    </row>
    <row r="659" spans="1:6" x14ac:dyDescent="0.3">
      <c r="A659">
        <v>2.145756891118733E-3</v>
      </c>
      <c r="F659">
        <f t="shared" si="17"/>
        <v>3.3173692045403582</v>
      </c>
    </row>
    <row r="660" spans="1:6" x14ac:dyDescent="0.3">
      <c r="A660">
        <v>2.1662991239281837E-3</v>
      </c>
      <c r="F660">
        <f t="shared" si="17"/>
        <v>3.3173211000541545</v>
      </c>
    </row>
    <row r="661" spans="1:6" x14ac:dyDescent="0.3">
      <c r="A661">
        <v>2.2957447966640565E-3</v>
      </c>
      <c r="F661">
        <f t="shared" si="17"/>
        <v>3.3170157460201155</v>
      </c>
    </row>
    <row r="662" spans="1:6" x14ac:dyDescent="0.3">
      <c r="A662">
        <v>2.3840556787035894E-3</v>
      </c>
      <c r="F662">
        <f t="shared" si="17"/>
        <v>3.3168052214681212</v>
      </c>
    </row>
    <row r="663" spans="1:6" x14ac:dyDescent="0.3">
      <c r="A663">
        <v>2.4171758082047745E-3</v>
      </c>
      <c r="F663">
        <f t="shared" si="17"/>
        <v>3.3167258052634692</v>
      </c>
    </row>
    <row r="664" spans="1:6" x14ac:dyDescent="0.3">
      <c r="A664">
        <v>2.4875282691141365E-3</v>
      </c>
      <c r="F664">
        <f t="shared" si="17"/>
        <v>3.3165562781516265</v>
      </c>
    </row>
    <row r="665" spans="1:6" x14ac:dyDescent="0.3">
      <c r="A665">
        <v>2.5001421564638804E-3</v>
      </c>
      <c r="F665">
        <f t="shared" si="17"/>
        <v>3.316525762743562</v>
      </c>
    </row>
    <row r="666" spans="1:6" x14ac:dyDescent="0.3">
      <c r="A666">
        <v>2.6697604361061167E-3</v>
      </c>
      <c r="F666">
        <f t="shared" si="17"/>
        <v>3.3161118817696207</v>
      </c>
    </row>
    <row r="667" spans="1:6" x14ac:dyDescent="0.3">
      <c r="A667">
        <v>2.8009317750274931E-3</v>
      </c>
      <c r="F667">
        <f t="shared" si="17"/>
        <v>3.3157872941414426</v>
      </c>
    </row>
    <row r="668" spans="1:6" x14ac:dyDescent="0.3">
      <c r="A668">
        <v>2.9011179505680218E-3</v>
      </c>
      <c r="F668">
        <f t="shared" si="17"/>
        <v>3.3155367256930344</v>
      </c>
    </row>
    <row r="669" spans="1:6" x14ac:dyDescent="0.3">
      <c r="A669">
        <v>2.9203156718153878E-3</v>
      </c>
      <c r="F669">
        <f t="shared" si="17"/>
        <v>3.3154884492180088</v>
      </c>
    </row>
    <row r="670" spans="1:6" x14ac:dyDescent="0.3">
      <c r="A670">
        <v>2.9656562655304697E-3</v>
      </c>
      <c r="F670">
        <f t="shared" si="17"/>
        <v>3.3153740962864688</v>
      </c>
    </row>
    <row r="671" spans="1:6" x14ac:dyDescent="0.3">
      <c r="A671">
        <v>2.9947791213658093E-3</v>
      </c>
      <c r="F671">
        <f t="shared" si="17"/>
        <v>3.3153003976396298</v>
      </c>
    </row>
    <row r="672" spans="1:6" x14ac:dyDescent="0.3">
      <c r="A672">
        <v>3.0230792792167449E-3</v>
      </c>
      <c r="F672">
        <f t="shared" si="17"/>
        <v>3.3152285948941556</v>
      </c>
    </row>
    <row r="673" spans="1:6" x14ac:dyDescent="0.3">
      <c r="A673">
        <v>3.0453071951797028E-3</v>
      </c>
      <c r="F673">
        <f t="shared" si="17"/>
        <v>3.3151720699910272</v>
      </c>
    </row>
    <row r="674" spans="1:6" x14ac:dyDescent="0.3">
      <c r="A674">
        <v>3.0670456477963626E-3</v>
      </c>
      <c r="F674">
        <f t="shared" si="17"/>
        <v>3.3151166803819603</v>
      </c>
    </row>
    <row r="675" spans="1:6" x14ac:dyDescent="0.3">
      <c r="A675">
        <v>3.0870223744159375E-3</v>
      </c>
      <c r="F675">
        <f t="shared" si="17"/>
        <v>3.3150656842750093</v>
      </c>
    </row>
    <row r="676" spans="1:6" x14ac:dyDescent="0.3">
      <c r="A676">
        <v>3.1364755522815813E-3</v>
      </c>
      <c r="F676">
        <f t="shared" si="17"/>
        <v>3.3149390484391406</v>
      </c>
    </row>
    <row r="677" spans="1:6" x14ac:dyDescent="0.3">
      <c r="A677">
        <v>3.142391141196299E-3</v>
      </c>
      <c r="F677">
        <f t="shared" si="17"/>
        <v>3.3149238627777158</v>
      </c>
    </row>
    <row r="678" spans="1:6" x14ac:dyDescent="0.3">
      <c r="A678">
        <v>3.4988332451519888E-3</v>
      </c>
      <c r="F678">
        <f t="shared" si="17"/>
        <v>3.3139940789791349</v>
      </c>
    </row>
    <row r="679" spans="1:6" x14ac:dyDescent="0.3">
      <c r="A679">
        <v>3.5715564828478485E-3</v>
      </c>
      <c r="F679">
        <f t="shared" si="17"/>
        <v>3.3138008101831247</v>
      </c>
    </row>
    <row r="680" spans="1:6" x14ac:dyDescent="0.3">
      <c r="A680">
        <v>3.5818924777686334E-3</v>
      </c>
      <c r="F680">
        <f t="shared" si="17"/>
        <v>3.3137732431653828</v>
      </c>
    </row>
    <row r="681" spans="1:6" x14ac:dyDescent="0.3">
      <c r="A681">
        <v>3.6261059869957535E-3</v>
      </c>
      <c r="F681">
        <f t="shared" si="17"/>
        <v>3.3136550461061964</v>
      </c>
    </row>
    <row r="682" spans="1:6" x14ac:dyDescent="0.3">
      <c r="A682">
        <v>3.7657624912981191E-3</v>
      </c>
      <c r="F682">
        <f t="shared" si="17"/>
        <v>3.3132787640632952</v>
      </c>
    </row>
    <row r="683" spans="1:6" x14ac:dyDescent="0.3">
      <c r="A683">
        <v>3.9053782579117069E-3</v>
      </c>
      <c r="F683">
        <f t="shared" si="17"/>
        <v>3.3128981365962034</v>
      </c>
    </row>
    <row r="684" spans="1:6" x14ac:dyDescent="0.3">
      <c r="A684">
        <v>3.9243593977857927E-3</v>
      </c>
      <c r="F684">
        <f t="shared" si="17"/>
        <v>3.3128460453806818</v>
      </c>
    </row>
    <row r="685" spans="1:6" x14ac:dyDescent="0.3">
      <c r="A685">
        <v>3.9310311272160448E-3</v>
      </c>
      <c r="F685">
        <f t="shared" si="17"/>
        <v>3.3128277161576301</v>
      </c>
    </row>
    <row r="686" spans="1:6" x14ac:dyDescent="0.3">
      <c r="A686">
        <v>3.9387471177292355E-3</v>
      </c>
      <c r="F686">
        <f t="shared" si="17"/>
        <v>3.31280650535943</v>
      </c>
    </row>
    <row r="687" spans="1:6" x14ac:dyDescent="0.3">
      <c r="A687">
        <v>4.0794870295712826E-3</v>
      </c>
      <c r="F687">
        <f t="shared" si="17"/>
        <v>3.3124172336580013</v>
      </c>
    </row>
    <row r="688" spans="1:6" x14ac:dyDescent="0.3">
      <c r="A688">
        <v>4.1231373500068003E-3</v>
      </c>
      <c r="F688">
        <f t="shared" si="17"/>
        <v>3.3122955824744902</v>
      </c>
    </row>
    <row r="689" spans="1:6" x14ac:dyDescent="0.3">
      <c r="A689">
        <v>4.1758328219430041E-3</v>
      </c>
      <c r="F689">
        <f t="shared" si="17"/>
        <v>3.3121481433370517</v>
      </c>
    </row>
    <row r="690" spans="1:6" x14ac:dyDescent="0.3">
      <c r="A690">
        <v>4.6335144601812317E-3</v>
      </c>
      <c r="F690">
        <f t="shared" si="17"/>
        <v>3.3108409205622982</v>
      </c>
    </row>
    <row r="691" spans="1:6" x14ac:dyDescent="0.3">
      <c r="A691">
        <v>4.640308967054807E-3</v>
      </c>
      <c r="F691">
        <f t="shared" si="17"/>
        <v>3.3108211542626451</v>
      </c>
    </row>
    <row r="692" spans="1:6" x14ac:dyDescent="0.3">
      <c r="A692">
        <v>4.845471212576058E-3</v>
      </c>
      <c r="F692">
        <f t="shared" si="17"/>
        <v>3.3102193479411324</v>
      </c>
    </row>
    <row r="693" spans="1:6" x14ac:dyDescent="0.3">
      <c r="A693">
        <v>4.8941619572707984E-3</v>
      </c>
      <c r="F693">
        <f t="shared" si="17"/>
        <v>3.3100751138739706</v>
      </c>
    </row>
    <row r="694" spans="1:6" x14ac:dyDescent="0.3">
      <c r="A694">
        <v>4.8976936808458049E-3</v>
      </c>
      <c r="F694">
        <f t="shared" si="17"/>
        <v>3.3100646310190465</v>
      </c>
    </row>
    <row r="695" spans="1:6" x14ac:dyDescent="0.3">
      <c r="A695">
        <v>4.9506068272648918E-3</v>
      </c>
      <c r="F695">
        <f t="shared" si="17"/>
        <v>3.3099072340720923</v>
      </c>
    </row>
    <row r="696" spans="1:6" x14ac:dyDescent="0.3">
      <c r="A696">
        <v>5.0326700476077679E-3</v>
      </c>
      <c r="F696">
        <f t="shared" si="17"/>
        <v>3.3096618647696339</v>
      </c>
    </row>
    <row r="697" spans="1:6" x14ac:dyDescent="0.3">
      <c r="A697">
        <v>5.0544289715048762E-3</v>
      </c>
      <c r="F697">
        <f t="shared" si="17"/>
        <v>3.3095965482254015</v>
      </c>
    </row>
    <row r="698" spans="1:6" x14ac:dyDescent="0.3">
      <c r="A698">
        <v>5.0943612544074313E-3</v>
      </c>
      <c r="F698">
        <f t="shared" si="17"/>
        <v>3.3094763978521726</v>
      </c>
    </row>
    <row r="699" spans="1:6" x14ac:dyDescent="0.3">
      <c r="A699">
        <v>5.1671357159648323E-3</v>
      </c>
      <c r="F699">
        <f t="shared" si="17"/>
        <v>3.3092564962617912</v>
      </c>
    </row>
    <row r="700" spans="1:6" x14ac:dyDescent="0.3">
      <c r="A700">
        <v>5.3295779955533362E-3</v>
      </c>
      <c r="F700">
        <f t="shared" si="17"/>
        <v>3.3087612971447573</v>
      </c>
    </row>
    <row r="701" spans="1:6" x14ac:dyDescent="0.3">
      <c r="A701">
        <v>5.338242054548914E-3</v>
      </c>
      <c r="F701">
        <f t="shared" si="17"/>
        <v>3.3087347163716618</v>
      </c>
    </row>
    <row r="702" spans="1:6" x14ac:dyDescent="0.3">
      <c r="A702">
        <v>5.4047613100465242E-3</v>
      </c>
      <c r="F702">
        <f t="shared" si="17"/>
        <v>3.3085300705481915</v>
      </c>
    </row>
    <row r="703" spans="1:6" x14ac:dyDescent="0.3">
      <c r="A703">
        <v>5.5210323271239758E-3</v>
      </c>
      <c r="F703">
        <f t="shared" si="17"/>
        <v>3.308169946101474</v>
      </c>
    </row>
    <row r="704" spans="1:6" x14ac:dyDescent="0.3">
      <c r="A704">
        <v>5.5915579309839814E-3</v>
      </c>
      <c r="F704">
        <f t="shared" si="17"/>
        <v>3.3079500098772625</v>
      </c>
    </row>
    <row r="705" spans="1:6" x14ac:dyDescent="0.3">
      <c r="A705">
        <v>5.7522331419477268E-3</v>
      </c>
      <c r="F705">
        <f t="shared" si="17"/>
        <v>3.307444715698483</v>
      </c>
    </row>
    <row r="706" spans="1:6" x14ac:dyDescent="0.3">
      <c r="A706">
        <v>5.7710651942102231E-3</v>
      </c>
      <c r="F706">
        <f t="shared" si="17"/>
        <v>3.3073851080720336</v>
      </c>
    </row>
    <row r="707" spans="1:6" x14ac:dyDescent="0.3">
      <c r="A707">
        <v>5.8076053944660089E-3</v>
      </c>
      <c r="F707">
        <f t="shared" ref="F707:F770" si="18">_xlfn.NORM.DIST(A707,$J$6,$K$6,FALSE)</f>
        <v>3.3072692202817939</v>
      </c>
    </row>
    <row r="708" spans="1:6" x14ac:dyDescent="0.3">
      <c r="A708">
        <v>5.8600664650043655E-3</v>
      </c>
      <c r="F708">
        <f t="shared" si="18"/>
        <v>3.307102308638961</v>
      </c>
    </row>
    <row r="709" spans="1:6" x14ac:dyDescent="0.3">
      <c r="A709">
        <v>6.0643188201083831E-3</v>
      </c>
      <c r="F709">
        <f t="shared" si="18"/>
        <v>3.3064464968118759</v>
      </c>
    </row>
    <row r="710" spans="1:6" x14ac:dyDescent="0.3">
      <c r="A710">
        <v>6.0813813677214057E-3</v>
      </c>
      <c r="F710">
        <f t="shared" si="18"/>
        <v>3.3063912836487375</v>
      </c>
    </row>
    <row r="711" spans="1:6" x14ac:dyDescent="0.3">
      <c r="A711">
        <v>6.1656318678977584E-3</v>
      </c>
      <c r="F711">
        <f t="shared" si="18"/>
        <v>3.3061176860320538</v>
      </c>
    </row>
    <row r="712" spans="1:6" x14ac:dyDescent="0.3">
      <c r="A712">
        <v>6.178200273549983E-3</v>
      </c>
      <c r="F712">
        <f t="shared" si="18"/>
        <v>3.3060767328677949</v>
      </c>
    </row>
    <row r="713" spans="1:6" x14ac:dyDescent="0.3">
      <c r="A713">
        <v>6.1815059658556493E-3</v>
      </c>
      <c r="F713">
        <f t="shared" si="18"/>
        <v>3.3060659555719933</v>
      </c>
    </row>
    <row r="714" spans="1:6" x14ac:dyDescent="0.3">
      <c r="A714">
        <v>6.4532611187360089E-3</v>
      </c>
      <c r="F714">
        <f t="shared" si="18"/>
        <v>3.3051714903804355</v>
      </c>
    </row>
    <row r="715" spans="1:6" x14ac:dyDescent="0.3">
      <c r="A715">
        <v>6.5238223716050925E-3</v>
      </c>
      <c r="F715">
        <f t="shared" si="18"/>
        <v>3.304936502293498</v>
      </c>
    </row>
    <row r="716" spans="1:6" x14ac:dyDescent="0.3">
      <c r="A716">
        <v>6.5271128322070687E-3</v>
      </c>
      <c r="F716">
        <f t="shared" si="18"/>
        <v>3.3049255166108549</v>
      </c>
    </row>
    <row r="717" spans="1:6" x14ac:dyDescent="0.3">
      <c r="A717">
        <v>6.5484663166444079E-3</v>
      </c>
      <c r="F717">
        <f t="shared" si="18"/>
        <v>3.3048541652182108</v>
      </c>
    </row>
    <row r="718" spans="1:6" x14ac:dyDescent="0.3">
      <c r="A718">
        <v>6.7875644258492684E-3</v>
      </c>
      <c r="F718">
        <f t="shared" si="18"/>
        <v>3.3040481738065237</v>
      </c>
    </row>
    <row r="719" spans="1:6" x14ac:dyDescent="0.3">
      <c r="A719">
        <v>6.8173556956026005E-3</v>
      </c>
      <c r="F719">
        <f t="shared" si="18"/>
        <v>3.3039468406618595</v>
      </c>
    </row>
    <row r="720" spans="1:6" x14ac:dyDescent="0.3">
      <c r="A720">
        <v>6.8281739075359837E-3</v>
      </c>
      <c r="F720">
        <f t="shared" si="18"/>
        <v>3.3039099934166725</v>
      </c>
    </row>
    <row r="721" spans="1:6" x14ac:dyDescent="0.3">
      <c r="A721">
        <v>6.916883876101565E-3</v>
      </c>
      <c r="F721">
        <f t="shared" si="18"/>
        <v>3.3036068437047321</v>
      </c>
    </row>
    <row r="722" spans="1:6" x14ac:dyDescent="0.3">
      <c r="A722">
        <v>6.9749229842841487E-3</v>
      </c>
      <c r="F722">
        <f t="shared" si="18"/>
        <v>3.3034075412606638</v>
      </c>
    </row>
    <row r="723" spans="1:6" x14ac:dyDescent="0.3">
      <c r="A723">
        <v>6.9822546163891275E-3</v>
      </c>
      <c r="F723">
        <f t="shared" si="18"/>
        <v>3.3033823106489777</v>
      </c>
    </row>
    <row r="724" spans="1:6" x14ac:dyDescent="0.3">
      <c r="A724">
        <v>7.0554749485296497E-3</v>
      </c>
      <c r="F724">
        <f t="shared" si="18"/>
        <v>3.3031296670556261</v>
      </c>
    </row>
    <row r="725" spans="1:6" x14ac:dyDescent="0.3">
      <c r="A725">
        <v>7.1670503359086979E-3</v>
      </c>
      <c r="F725">
        <f t="shared" si="18"/>
        <v>3.3027423469251049</v>
      </c>
    </row>
    <row r="726" spans="1:6" x14ac:dyDescent="0.3">
      <c r="A726">
        <v>7.1866162502374209E-3</v>
      </c>
      <c r="F726">
        <f t="shared" si="18"/>
        <v>3.3026741358758596</v>
      </c>
    </row>
    <row r="727" spans="1:6" x14ac:dyDescent="0.3">
      <c r="A727">
        <v>7.2137120595243687E-3</v>
      </c>
      <c r="F727">
        <f t="shared" si="18"/>
        <v>3.3025795308982508</v>
      </c>
    </row>
    <row r="728" spans="1:6" x14ac:dyDescent="0.3">
      <c r="A728">
        <v>7.3377143116033494E-3</v>
      </c>
      <c r="F728">
        <f t="shared" si="18"/>
        <v>3.3021444574134482</v>
      </c>
    </row>
    <row r="729" spans="1:6" x14ac:dyDescent="0.3">
      <c r="A729">
        <v>7.4030564936151677E-3</v>
      </c>
      <c r="F729">
        <f t="shared" si="18"/>
        <v>3.301913798828132</v>
      </c>
    </row>
    <row r="730" spans="1:6" x14ac:dyDescent="0.3">
      <c r="A730">
        <v>7.4076892273922113E-3</v>
      </c>
      <c r="F730">
        <f t="shared" si="18"/>
        <v>3.3018974085692152</v>
      </c>
    </row>
    <row r="731" spans="1:6" x14ac:dyDescent="0.3">
      <c r="A731">
        <v>7.529934331143906E-3</v>
      </c>
      <c r="F731">
        <f t="shared" si="18"/>
        <v>3.3014631610627476</v>
      </c>
    </row>
    <row r="732" spans="1:6" x14ac:dyDescent="0.3">
      <c r="A732">
        <v>7.5531412378069263E-3</v>
      </c>
      <c r="F732">
        <f t="shared" si="18"/>
        <v>3.3013803422998027</v>
      </c>
    </row>
    <row r="733" spans="1:6" x14ac:dyDescent="0.3">
      <c r="A733">
        <v>7.7482539878701573E-3</v>
      </c>
      <c r="F733">
        <f t="shared" si="18"/>
        <v>3.3006792275033083</v>
      </c>
    </row>
    <row r="734" spans="1:6" x14ac:dyDescent="0.3">
      <c r="A734">
        <v>7.8789885648795632E-3</v>
      </c>
      <c r="F734">
        <f t="shared" si="18"/>
        <v>3.3002046360765855</v>
      </c>
    </row>
    <row r="735" spans="1:6" x14ac:dyDescent="0.3">
      <c r="A735">
        <v>8.0085555206323988E-3</v>
      </c>
      <c r="F735">
        <f t="shared" si="18"/>
        <v>3.299730475516796</v>
      </c>
    </row>
    <row r="736" spans="1:6" x14ac:dyDescent="0.3">
      <c r="A736">
        <v>8.2346233357384335E-3</v>
      </c>
      <c r="F736">
        <f t="shared" si="18"/>
        <v>3.2988940902344215</v>
      </c>
    </row>
    <row r="737" spans="1:6" x14ac:dyDescent="0.3">
      <c r="A737">
        <v>8.3097392304800621E-3</v>
      </c>
      <c r="F737">
        <f t="shared" si="18"/>
        <v>3.2986136315928607</v>
      </c>
    </row>
    <row r="738" spans="1:6" x14ac:dyDescent="0.3">
      <c r="A738">
        <v>8.3408500208861369E-3</v>
      </c>
      <c r="F738">
        <f t="shared" si="18"/>
        <v>3.2984971012929996</v>
      </c>
    </row>
    <row r="739" spans="1:6" x14ac:dyDescent="0.3">
      <c r="A739">
        <v>8.3571285766197434E-3</v>
      </c>
      <c r="F739">
        <f t="shared" si="18"/>
        <v>3.2984360404715281</v>
      </c>
    </row>
    <row r="740" spans="1:6" x14ac:dyDescent="0.3">
      <c r="A740">
        <v>8.5199401856925761E-3</v>
      </c>
      <c r="F740">
        <f t="shared" si="18"/>
        <v>3.2978220484297913</v>
      </c>
    </row>
    <row r="741" spans="1:6" x14ac:dyDescent="0.3">
      <c r="A741">
        <v>8.5713464561649744E-3</v>
      </c>
      <c r="F741">
        <f t="shared" si="18"/>
        <v>3.2976269453418916</v>
      </c>
    </row>
    <row r="742" spans="1:6" x14ac:dyDescent="0.3">
      <c r="A742">
        <v>8.5767526760207602E-3</v>
      </c>
      <c r="F742">
        <f t="shared" si="18"/>
        <v>3.2976063924274794</v>
      </c>
    </row>
    <row r="743" spans="1:6" x14ac:dyDescent="0.3">
      <c r="A743">
        <v>8.618398379098835E-3</v>
      </c>
      <c r="F743">
        <f t="shared" si="18"/>
        <v>3.2974478465807766</v>
      </c>
    </row>
    <row r="744" spans="1:6" x14ac:dyDescent="0.3">
      <c r="A744">
        <v>8.6935079274041982E-3</v>
      </c>
      <c r="F744">
        <f t="shared" si="18"/>
        <v>3.2971609158031665</v>
      </c>
    </row>
    <row r="745" spans="1:6" x14ac:dyDescent="0.3">
      <c r="A745">
        <v>8.6964301833631907E-3</v>
      </c>
      <c r="F745">
        <f t="shared" si="18"/>
        <v>3.2971497266314884</v>
      </c>
    </row>
    <row r="746" spans="1:6" x14ac:dyDescent="0.3">
      <c r="A746">
        <v>8.7048655079797754E-3</v>
      </c>
      <c r="F746">
        <f t="shared" si="18"/>
        <v>3.2971174174099023</v>
      </c>
    </row>
    <row r="747" spans="1:6" x14ac:dyDescent="0.3">
      <c r="A747">
        <v>8.7714638482907503E-3</v>
      </c>
      <c r="F747">
        <f t="shared" si="18"/>
        <v>3.2968617679933905</v>
      </c>
    </row>
    <row r="748" spans="1:6" x14ac:dyDescent="0.3">
      <c r="A748">
        <v>8.8031263359766854E-3</v>
      </c>
      <c r="F748">
        <f t="shared" si="18"/>
        <v>3.2967398757818192</v>
      </c>
    </row>
    <row r="749" spans="1:6" x14ac:dyDescent="0.3">
      <c r="A749">
        <v>8.86015159312592E-3</v>
      </c>
      <c r="F749">
        <f t="shared" si="18"/>
        <v>3.2965197744457861</v>
      </c>
    </row>
    <row r="750" spans="1:6" x14ac:dyDescent="0.3">
      <c r="A750">
        <v>9.0208242575187114E-3</v>
      </c>
      <c r="F750">
        <f t="shared" si="18"/>
        <v>3.2958956882208676</v>
      </c>
    </row>
    <row r="751" spans="1:6" x14ac:dyDescent="0.3">
      <c r="A751">
        <v>9.218660497140263E-3</v>
      </c>
      <c r="F751">
        <f t="shared" si="18"/>
        <v>3.2951192752276754</v>
      </c>
    </row>
    <row r="752" spans="1:6" x14ac:dyDescent="0.3">
      <c r="A752">
        <v>9.2952157514218925E-3</v>
      </c>
      <c r="F752">
        <f t="shared" si="18"/>
        <v>3.2948164714158077</v>
      </c>
    </row>
    <row r="753" spans="1:6" x14ac:dyDescent="0.3">
      <c r="A753">
        <v>9.3547928320703022E-3</v>
      </c>
      <c r="F753">
        <f t="shared" si="18"/>
        <v>3.2945799112750338</v>
      </c>
    </row>
    <row r="754" spans="1:6" x14ac:dyDescent="0.3">
      <c r="A754">
        <v>9.624162590796459E-3</v>
      </c>
      <c r="F754">
        <f t="shared" si="18"/>
        <v>3.2935003865691872</v>
      </c>
    </row>
    <row r="755" spans="1:6" x14ac:dyDescent="0.3">
      <c r="A755">
        <v>9.6929210841949498E-3</v>
      </c>
      <c r="F755">
        <f t="shared" si="18"/>
        <v>3.2932222210510549</v>
      </c>
    </row>
    <row r="756" spans="1:6" x14ac:dyDescent="0.3">
      <c r="A756">
        <v>9.7487878023018171E-3</v>
      </c>
      <c r="F756">
        <f t="shared" si="18"/>
        <v>3.292995428735884</v>
      </c>
    </row>
    <row r="757" spans="1:6" x14ac:dyDescent="0.3">
      <c r="A757">
        <v>9.8585337851773147E-3</v>
      </c>
      <c r="F757">
        <f t="shared" si="18"/>
        <v>3.2925478739097462</v>
      </c>
    </row>
    <row r="758" spans="1:6" x14ac:dyDescent="0.3">
      <c r="A758">
        <v>9.9078548576017056E-3</v>
      </c>
      <c r="F758">
        <f t="shared" si="18"/>
        <v>3.2923458581672076</v>
      </c>
    </row>
    <row r="759" spans="1:6" x14ac:dyDescent="0.3">
      <c r="A759">
        <v>1.0034653261349002E-2</v>
      </c>
      <c r="F759">
        <f t="shared" si="18"/>
        <v>3.2918239977169068</v>
      </c>
    </row>
    <row r="760" spans="1:6" x14ac:dyDescent="0.3">
      <c r="A760">
        <v>1.0109609636856476E-2</v>
      </c>
      <c r="F760">
        <f t="shared" si="18"/>
        <v>3.2915138076038284</v>
      </c>
    </row>
    <row r="761" spans="1:6" x14ac:dyDescent="0.3">
      <c r="A761">
        <v>1.012217282352168E-2</v>
      </c>
      <c r="F761">
        <f t="shared" si="18"/>
        <v>3.2914616945216624</v>
      </c>
    </row>
    <row r="762" spans="1:6" x14ac:dyDescent="0.3">
      <c r="A762">
        <v>1.012224218911939E-2</v>
      </c>
      <c r="F762">
        <f t="shared" si="18"/>
        <v>3.2914614066895913</v>
      </c>
    </row>
    <row r="763" spans="1:6" x14ac:dyDescent="0.3">
      <c r="A763">
        <v>1.020903183439259E-2</v>
      </c>
      <c r="F763">
        <f t="shared" si="18"/>
        <v>3.2911004294713466</v>
      </c>
    </row>
    <row r="764" spans="1:6" x14ac:dyDescent="0.3">
      <c r="A764">
        <v>1.0281927191613249E-2</v>
      </c>
      <c r="F764">
        <f t="shared" si="18"/>
        <v>3.2907959384016983</v>
      </c>
    </row>
    <row r="765" spans="1:6" x14ac:dyDescent="0.3">
      <c r="A765">
        <v>1.0401062973301123E-2</v>
      </c>
      <c r="F765">
        <f t="shared" si="18"/>
        <v>3.2902957360543423</v>
      </c>
    </row>
    <row r="766" spans="1:6" x14ac:dyDescent="0.3">
      <c r="A766">
        <v>1.0542225882119283E-2</v>
      </c>
      <c r="F766">
        <f t="shared" si="18"/>
        <v>3.2896989401535053</v>
      </c>
    </row>
    <row r="767" spans="1:6" x14ac:dyDescent="0.3">
      <c r="A767">
        <v>1.0550427163934728E-2</v>
      </c>
      <c r="F767">
        <f t="shared" si="18"/>
        <v>3.2896641305166021</v>
      </c>
    </row>
    <row r="768" spans="1:6" x14ac:dyDescent="0.3">
      <c r="A768">
        <v>1.0553987943978882E-2</v>
      </c>
      <c r="F768">
        <f t="shared" si="18"/>
        <v>3.2896490124084172</v>
      </c>
    </row>
    <row r="769" spans="1:6" x14ac:dyDescent="0.3">
      <c r="A769">
        <v>1.0686853484401126E-2</v>
      </c>
      <c r="F769">
        <f t="shared" si="18"/>
        <v>3.2890828749652208</v>
      </c>
    </row>
    <row r="770" spans="1:6" x14ac:dyDescent="0.3">
      <c r="A770">
        <v>1.0695047731203999E-2</v>
      </c>
      <c r="F770">
        <f t="shared" si="18"/>
        <v>3.2890478302517163</v>
      </c>
    </row>
    <row r="771" spans="1:6" x14ac:dyDescent="0.3">
      <c r="A771">
        <v>1.0700594507511596E-2</v>
      </c>
      <c r="F771">
        <f t="shared" ref="F771:F834" si="19">_xlfn.NORM.DIST(A771,$J$6,$K$6,FALSE)</f>
        <v>3.2890240995803786</v>
      </c>
    </row>
    <row r="772" spans="1:6" x14ac:dyDescent="0.3">
      <c r="A772">
        <v>1.0776400156162685E-2</v>
      </c>
      <c r="F772">
        <f t="shared" si="19"/>
        <v>3.2886990926116302</v>
      </c>
    </row>
    <row r="773" spans="1:6" x14ac:dyDescent="0.3">
      <c r="A773">
        <v>1.0829691511261785E-2</v>
      </c>
      <c r="F773">
        <f t="shared" si="19"/>
        <v>3.2884698442245508</v>
      </c>
    </row>
    <row r="774" spans="1:6" x14ac:dyDescent="0.3">
      <c r="A774">
        <v>1.0896359150706303E-2</v>
      </c>
      <c r="F774">
        <f t="shared" si="19"/>
        <v>3.2881821606518749</v>
      </c>
    </row>
    <row r="775" spans="1:6" x14ac:dyDescent="0.3">
      <c r="A775">
        <v>1.0967841557601332E-2</v>
      </c>
      <c r="F775">
        <f t="shared" si="19"/>
        <v>3.2878725978121883</v>
      </c>
    </row>
    <row r="776" spans="1:6" x14ac:dyDescent="0.3">
      <c r="A776">
        <v>1.102588404118876E-2</v>
      </c>
      <c r="F776">
        <f t="shared" si="19"/>
        <v>3.2876203989198158</v>
      </c>
    </row>
    <row r="777" spans="1:6" x14ac:dyDescent="0.3">
      <c r="A777">
        <v>1.1160924861087551E-2</v>
      </c>
      <c r="F777">
        <f t="shared" si="19"/>
        <v>3.2870307270409262</v>
      </c>
    </row>
    <row r="778" spans="1:6" x14ac:dyDescent="0.3">
      <c r="A778">
        <v>1.1200243502798912E-2</v>
      </c>
      <c r="F778">
        <f t="shared" si="19"/>
        <v>3.2868582727461546</v>
      </c>
    </row>
    <row r="779" spans="1:6" x14ac:dyDescent="0.3">
      <c r="A779">
        <v>1.1286125219214682E-2</v>
      </c>
      <c r="F779">
        <f t="shared" si="19"/>
        <v>3.2864803905497659</v>
      </c>
    </row>
    <row r="780" spans="1:6" x14ac:dyDescent="0.3">
      <c r="A780">
        <v>1.1321357749807248E-2</v>
      </c>
      <c r="F780">
        <f t="shared" si="19"/>
        <v>3.2863248905961604</v>
      </c>
    </row>
    <row r="781" spans="1:6" x14ac:dyDescent="0.3">
      <c r="A781">
        <v>1.1347972104488235E-2</v>
      </c>
      <c r="F781">
        <f t="shared" si="19"/>
        <v>3.2862072437778194</v>
      </c>
    </row>
    <row r="782" spans="1:6" x14ac:dyDescent="0.3">
      <c r="A782">
        <v>1.1359384005118045E-2</v>
      </c>
      <c r="F782">
        <f t="shared" si="19"/>
        <v>3.2861567499359392</v>
      </c>
    </row>
    <row r="783" spans="1:6" x14ac:dyDescent="0.3">
      <c r="A783">
        <v>1.1398161502796711E-2</v>
      </c>
      <c r="F783">
        <f t="shared" si="19"/>
        <v>3.2859849555932601</v>
      </c>
    </row>
    <row r="784" spans="1:6" x14ac:dyDescent="0.3">
      <c r="A784">
        <v>1.1413972885009116E-2</v>
      </c>
      <c r="F784">
        <f t="shared" si="19"/>
        <v>3.2859148109015548</v>
      </c>
    </row>
    <row r="785" spans="1:6" x14ac:dyDescent="0.3">
      <c r="A785">
        <v>1.14495683249487E-2</v>
      </c>
      <c r="F785">
        <f t="shared" si="19"/>
        <v>3.2857566934947093</v>
      </c>
    </row>
    <row r="786" spans="1:6" x14ac:dyDescent="0.3">
      <c r="A786">
        <v>1.1580284451042644E-2</v>
      </c>
      <c r="F786">
        <f t="shared" si="19"/>
        <v>3.2851736218442134</v>
      </c>
    </row>
    <row r="787" spans="1:6" x14ac:dyDescent="0.3">
      <c r="A787">
        <v>1.1634976148457099E-2</v>
      </c>
      <c r="F787">
        <f t="shared" si="19"/>
        <v>3.2849285351726114</v>
      </c>
    </row>
    <row r="788" spans="1:6" x14ac:dyDescent="0.3">
      <c r="A788">
        <v>1.1839041785144389E-2</v>
      </c>
      <c r="F788">
        <f t="shared" si="19"/>
        <v>3.2840081910937471</v>
      </c>
    </row>
    <row r="789" spans="1:6" x14ac:dyDescent="0.3">
      <c r="A789">
        <v>1.1859969166835072E-2</v>
      </c>
      <c r="F789">
        <f t="shared" si="19"/>
        <v>3.2839132839434106</v>
      </c>
    </row>
    <row r="790" spans="1:6" x14ac:dyDescent="0.3">
      <c r="A790">
        <v>1.1870486197381069E-2</v>
      </c>
      <c r="F790">
        <f t="shared" si="19"/>
        <v>3.2838655516897943</v>
      </c>
    </row>
    <row r="791" spans="1:6" x14ac:dyDescent="0.3">
      <c r="A791">
        <v>1.1986507942295166E-2</v>
      </c>
      <c r="F791">
        <f t="shared" si="19"/>
        <v>3.2833373467205149</v>
      </c>
    </row>
    <row r="792" spans="1:6" x14ac:dyDescent="0.3">
      <c r="A792">
        <v>1.2237267200255975E-2</v>
      </c>
      <c r="F792">
        <f t="shared" si="19"/>
        <v>3.282185509364719</v>
      </c>
    </row>
    <row r="793" spans="1:6" x14ac:dyDescent="0.3">
      <c r="A793">
        <v>1.2417146510699695E-2</v>
      </c>
      <c r="F793">
        <f t="shared" si="19"/>
        <v>3.2813506499295708</v>
      </c>
    </row>
    <row r="794" spans="1:6" x14ac:dyDescent="0.3">
      <c r="A794">
        <v>1.2432714388921795E-2</v>
      </c>
      <c r="F794">
        <f t="shared" si="19"/>
        <v>3.2812780583200394</v>
      </c>
    </row>
    <row r="795" spans="1:6" x14ac:dyDescent="0.3">
      <c r="A795">
        <v>1.2569075640271876E-2</v>
      </c>
      <c r="F795">
        <f t="shared" si="19"/>
        <v>3.2806399201346896</v>
      </c>
    </row>
    <row r="796" spans="1:6" x14ac:dyDescent="0.3">
      <c r="A796">
        <v>1.2754800238781172E-2</v>
      </c>
      <c r="F796">
        <f t="shared" si="19"/>
        <v>3.2797641412536027</v>
      </c>
    </row>
    <row r="797" spans="1:6" x14ac:dyDescent="0.3">
      <c r="A797">
        <v>1.2814548281685934E-2</v>
      </c>
      <c r="F797">
        <f t="shared" si="19"/>
        <v>3.2794807759916966</v>
      </c>
    </row>
    <row r="798" spans="1:6" x14ac:dyDescent="0.3">
      <c r="A798">
        <v>1.281761497178735E-2</v>
      </c>
      <c r="F798">
        <f t="shared" si="19"/>
        <v>3.2794662103550452</v>
      </c>
    </row>
    <row r="799" spans="1:6" x14ac:dyDescent="0.3">
      <c r="A799">
        <v>1.2907954882848571E-2</v>
      </c>
      <c r="F799">
        <f t="shared" si="19"/>
        <v>3.2790361949421589</v>
      </c>
    </row>
    <row r="800" spans="1:6" x14ac:dyDescent="0.3">
      <c r="A800">
        <v>1.3196802729268597E-2</v>
      </c>
      <c r="F800">
        <f t="shared" si="19"/>
        <v>3.2776491652651418</v>
      </c>
    </row>
    <row r="801" spans="1:6" x14ac:dyDescent="0.3">
      <c r="A801">
        <v>1.3199009759944147E-2</v>
      </c>
      <c r="F801">
        <f t="shared" si="19"/>
        <v>3.277638496184522</v>
      </c>
    </row>
    <row r="802" spans="1:6" x14ac:dyDescent="0.3">
      <c r="A802">
        <v>1.3201621875396086E-2</v>
      </c>
      <c r="F802">
        <f t="shared" si="19"/>
        <v>3.2776258674782626</v>
      </c>
    </row>
    <row r="803" spans="1:6" x14ac:dyDescent="0.3">
      <c r="A803">
        <v>1.320892305679422E-2</v>
      </c>
      <c r="F803">
        <f t="shared" si="19"/>
        <v>3.2775905607010238</v>
      </c>
    </row>
    <row r="804" spans="1:6" x14ac:dyDescent="0.3">
      <c r="A804">
        <v>1.3216811262566353E-2</v>
      </c>
      <c r="F804">
        <f t="shared" si="19"/>
        <v>3.2775524019665596</v>
      </c>
    </row>
    <row r="805" spans="1:6" x14ac:dyDescent="0.3">
      <c r="A805">
        <v>1.331887977185886E-2</v>
      </c>
      <c r="F805">
        <f t="shared" si="19"/>
        <v>3.2770574109126707</v>
      </c>
    </row>
    <row r="806" spans="1:6" x14ac:dyDescent="0.3">
      <c r="A806">
        <v>1.3668748000696951E-2</v>
      </c>
      <c r="F806">
        <f t="shared" si="19"/>
        <v>3.2753432250631436</v>
      </c>
    </row>
    <row r="807" spans="1:6" x14ac:dyDescent="0.3">
      <c r="A807">
        <v>1.3688171974749253E-2</v>
      </c>
      <c r="F807">
        <f t="shared" si="19"/>
        <v>3.275247265149178</v>
      </c>
    </row>
    <row r="808" spans="1:6" x14ac:dyDescent="0.3">
      <c r="A808">
        <v>1.3710050375834726E-2</v>
      </c>
      <c r="F808">
        <f t="shared" si="19"/>
        <v>3.2751390799870346</v>
      </c>
    </row>
    <row r="809" spans="1:6" x14ac:dyDescent="0.3">
      <c r="A809">
        <v>1.3718509063323836E-2</v>
      </c>
      <c r="F809">
        <f t="shared" si="19"/>
        <v>3.2750972248361205</v>
      </c>
    </row>
    <row r="810" spans="1:6" x14ac:dyDescent="0.3">
      <c r="A810">
        <v>1.3790477818979241E-2</v>
      </c>
      <c r="F810">
        <f t="shared" si="19"/>
        <v>3.2747404717210231</v>
      </c>
    </row>
    <row r="811" spans="1:6" x14ac:dyDescent="0.3">
      <c r="A811">
        <v>1.3855584347538752E-2</v>
      </c>
      <c r="F811">
        <f t="shared" si="19"/>
        <v>3.2744167509743587</v>
      </c>
    </row>
    <row r="812" spans="1:6" x14ac:dyDescent="0.3">
      <c r="A812">
        <v>1.3859297359601896E-2</v>
      </c>
      <c r="F812">
        <f t="shared" si="19"/>
        <v>3.2743982610761364</v>
      </c>
    </row>
    <row r="813" spans="1:6" x14ac:dyDescent="0.3">
      <c r="A813">
        <v>1.3927349625419083E-2</v>
      </c>
      <c r="F813">
        <f t="shared" si="19"/>
        <v>3.2740588390359133</v>
      </c>
    </row>
    <row r="814" spans="1:6" x14ac:dyDescent="0.3">
      <c r="A814">
        <v>1.4122289793931486E-2</v>
      </c>
      <c r="F814">
        <f t="shared" si="19"/>
        <v>3.2730808940680785</v>
      </c>
    </row>
    <row r="815" spans="1:6" x14ac:dyDescent="0.3">
      <c r="A815">
        <v>1.4164273980796338E-2</v>
      </c>
      <c r="F815">
        <f t="shared" si="19"/>
        <v>3.2728691790729383</v>
      </c>
    </row>
    <row r="816" spans="1:6" x14ac:dyDescent="0.3">
      <c r="A816">
        <v>1.4235352085052E-2</v>
      </c>
      <c r="F816">
        <f t="shared" si="19"/>
        <v>3.2725098667293859</v>
      </c>
    </row>
    <row r="817" spans="1:6" x14ac:dyDescent="0.3">
      <c r="A817">
        <v>1.4338110082121602E-2</v>
      </c>
      <c r="F817">
        <f t="shared" si="19"/>
        <v>3.2719884414856284</v>
      </c>
    </row>
    <row r="818" spans="1:6" x14ac:dyDescent="0.3">
      <c r="A818">
        <v>1.4342810967036712E-2</v>
      </c>
      <c r="F818">
        <f t="shared" si="19"/>
        <v>3.2719645322040227</v>
      </c>
    </row>
    <row r="819" spans="1:6" x14ac:dyDescent="0.3">
      <c r="A819">
        <v>1.4426005764725858E-2</v>
      </c>
      <c r="F819">
        <f t="shared" si="19"/>
        <v>3.2715405890684912</v>
      </c>
    </row>
    <row r="820" spans="1:6" x14ac:dyDescent="0.3">
      <c r="A820">
        <v>1.4454047929888247E-2</v>
      </c>
      <c r="F820">
        <f t="shared" si="19"/>
        <v>3.2713973491590584</v>
      </c>
    </row>
    <row r="821" spans="1:6" x14ac:dyDescent="0.3">
      <c r="A821">
        <v>1.4926968867825963E-2</v>
      </c>
      <c r="F821">
        <f t="shared" si="19"/>
        <v>3.2689556369122572</v>
      </c>
    </row>
    <row r="822" spans="1:6" x14ac:dyDescent="0.3">
      <c r="A822">
        <v>1.495654321274742E-2</v>
      </c>
      <c r="F822">
        <f t="shared" si="19"/>
        <v>3.2688013122804334</v>
      </c>
    </row>
    <row r="823" spans="1:6" x14ac:dyDescent="0.3">
      <c r="A823">
        <v>1.5023457417100872E-2</v>
      </c>
      <c r="F823">
        <f t="shared" si="19"/>
        <v>3.2684514331454442</v>
      </c>
    </row>
    <row r="824" spans="1:6" x14ac:dyDescent="0.3">
      <c r="A824">
        <v>1.5099813260192718E-2</v>
      </c>
      <c r="F824">
        <f t="shared" si="19"/>
        <v>3.268050986706605</v>
      </c>
    </row>
    <row r="825" spans="1:6" x14ac:dyDescent="0.3">
      <c r="A825">
        <v>1.5383314062542626E-2</v>
      </c>
      <c r="F825">
        <f t="shared" si="19"/>
        <v>3.2665529984259818</v>
      </c>
    </row>
    <row r="826" spans="1:6" x14ac:dyDescent="0.3">
      <c r="A826">
        <v>1.5748586701079148E-2</v>
      </c>
      <c r="F826">
        <f t="shared" si="19"/>
        <v>3.2645970097120491</v>
      </c>
    </row>
    <row r="827" spans="1:6" x14ac:dyDescent="0.3">
      <c r="A827">
        <v>1.5881638210487381E-2</v>
      </c>
      <c r="F827">
        <f t="shared" si="19"/>
        <v>3.2638772914071574</v>
      </c>
    </row>
    <row r="828" spans="1:6" x14ac:dyDescent="0.3">
      <c r="A828">
        <v>1.5938620554010186E-2</v>
      </c>
      <c r="F828">
        <f t="shared" si="19"/>
        <v>3.2635678735987019</v>
      </c>
    </row>
    <row r="829" spans="1:6" x14ac:dyDescent="0.3">
      <c r="A829">
        <v>1.5971427248814507E-2</v>
      </c>
      <c r="F829">
        <f t="shared" si="19"/>
        <v>3.2633894097020599</v>
      </c>
    </row>
    <row r="830" spans="1:6" x14ac:dyDescent="0.3">
      <c r="A830">
        <v>1.5974667030718592E-2</v>
      </c>
      <c r="F830">
        <f t="shared" si="19"/>
        <v>3.2633717729942462</v>
      </c>
    </row>
    <row r="831" spans="1:6" x14ac:dyDescent="0.3">
      <c r="A831">
        <v>1.5984694615269746E-2</v>
      </c>
      <c r="F831">
        <f t="shared" si="19"/>
        <v>3.2633171703684214</v>
      </c>
    </row>
    <row r="832" spans="1:6" x14ac:dyDescent="0.3">
      <c r="A832">
        <v>1.6094488456701583E-2</v>
      </c>
      <c r="F832">
        <f t="shared" si="19"/>
        <v>3.2627178814600266</v>
      </c>
    </row>
    <row r="833" spans="1:6" x14ac:dyDescent="0.3">
      <c r="A833">
        <v>1.6101032396022674E-2</v>
      </c>
      <c r="F833">
        <f t="shared" si="19"/>
        <v>3.2626820795894269</v>
      </c>
    </row>
    <row r="834" spans="1:6" x14ac:dyDescent="0.3">
      <c r="A834">
        <v>1.6130588108580923E-2</v>
      </c>
      <c r="F834">
        <f t="shared" si="19"/>
        <v>3.2625202640673527</v>
      </c>
    </row>
    <row r="835" spans="1:6" x14ac:dyDescent="0.3">
      <c r="A835">
        <v>1.6269428386067375E-2</v>
      </c>
      <c r="F835">
        <f t="shared" ref="F835:F898" si="20">_xlfn.NORM.DIST(A835,$J$6,$K$6,FALSE)</f>
        <v>3.2617575749075125</v>
      </c>
    </row>
    <row r="836" spans="1:6" x14ac:dyDescent="0.3">
      <c r="A836">
        <v>1.6417976993579941E-2</v>
      </c>
      <c r="F836">
        <f t="shared" si="20"/>
        <v>3.2609369050356523</v>
      </c>
    </row>
    <row r="837" spans="1:6" x14ac:dyDescent="0.3">
      <c r="A837">
        <v>1.6460806638804115E-2</v>
      </c>
      <c r="F837">
        <f t="shared" si="20"/>
        <v>3.2606993965875657</v>
      </c>
    </row>
    <row r="838" spans="1:6" x14ac:dyDescent="0.3">
      <c r="A838">
        <v>1.6742373117111242E-2</v>
      </c>
      <c r="F838">
        <f t="shared" si="20"/>
        <v>3.2591280566517797</v>
      </c>
    </row>
    <row r="839" spans="1:6" x14ac:dyDescent="0.3">
      <c r="A839">
        <v>1.6884711872705793E-2</v>
      </c>
      <c r="F839">
        <f t="shared" si="20"/>
        <v>3.2583271481582834</v>
      </c>
    </row>
    <row r="840" spans="1:6" x14ac:dyDescent="0.3">
      <c r="A840">
        <v>1.7035261195019302E-2</v>
      </c>
      <c r="F840">
        <f t="shared" si="20"/>
        <v>3.2574752533030891</v>
      </c>
    </row>
    <row r="841" spans="1:6" x14ac:dyDescent="0.3">
      <c r="A841">
        <v>1.7039244397665243E-2</v>
      </c>
      <c r="F841">
        <f t="shared" si="20"/>
        <v>3.257452647252661</v>
      </c>
    </row>
    <row r="842" spans="1:6" x14ac:dyDescent="0.3">
      <c r="A842">
        <v>1.7226735413657934E-2</v>
      </c>
      <c r="F842">
        <f t="shared" si="20"/>
        <v>3.2563846777971541</v>
      </c>
    </row>
    <row r="843" spans="1:6" x14ac:dyDescent="0.3">
      <c r="A843">
        <v>1.7244608733790301E-2</v>
      </c>
      <c r="F843">
        <f t="shared" si="20"/>
        <v>3.2562824714916854</v>
      </c>
    </row>
    <row r="844" spans="1:6" x14ac:dyDescent="0.3">
      <c r="A844">
        <v>1.7285713926696644E-2</v>
      </c>
      <c r="F844">
        <f t="shared" si="20"/>
        <v>3.2560471539865019</v>
      </c>
    </row>
    <row r="845" spans="1:6" x14ac:dyDescent="0.3">
      <c r="A845">
        <v>1.7315224805088292E-2</v>
      </c>
      <c r="F845">
        <f t="shared" si="20"/>
        <v>3.2558779854148123</v>
      </c>
    </row>
    <row r="846" spans="1:6" x14ac:dyDescent="0.3">
      <c r="A846">
        <v>1.7368752245658925E-2</v>
      </c>
      <c r="F846">
        <f t="shared" si="20"/>
        <v>3.2555706625223761</v>
      </c>
    </row>
    <row r="847" spans="1:6" x14ac:dyDescent="0.3">
      <c r="A847">
        <v>1.7451169011607703E-2</v>
      </c>
      <c r="F847">
        <f t="shared" si="20"/>
        <v>3.2550962610058654</v>
      </c>
    </row>
    <row r="848" spans="1:6" x14ac:dyDescent="0.3">
      <c r="A848">
        <v>1.7451429727739054E-2</v>
      </c>
      <c r="F848">
        <f t="shared" si="20"/>
        <v>3.2550947579567464</v>
      </c>
    </row>
    <row r="849" spans="1:6" x14ac:dyDescent="0.3">
      <c r="A849">
        <v>1.7456414799553954E-2</v>
      </c>
      <c r="F849">
        <f t="shared" si="20"/>
        <v>3.2550660157929197</v>
      </c>
    </row>
    <row r="850" spans="1:6" x14ac:dyDescent="0.3">
      <c r="A850">
        <v>1.7565495108499363E-2</v>
      </c>
      <c r="F850">
        <f t="shared" si="20"/>
        <v>3.2544357507923443</v>
      </c>
    </row>
    <row r="851" spans="1:6" x14ac:dyDescent="0.3">
      <c r="A851">
        <v>1.7669164899984935E-2</v>
      </c>
      <c r="F851">
        <f t="shared" si="20"/>
        <v>3.2538343618745684</v>
      </c>
    </row>
    <row r="852" spans="1:6" x14ac:dyDescent="0.3">
      <c r="A852">
        <v>1.7878969295566094E-2</v>
      </c>
      <c r="F852">
        <f t="shared" si="20"/>
        <v>3.252610176837063</v>
      </c>
    </row>
    <row r="853" spans="1:6" x14ac:dyDescent="0.3">
      <c r="A853">
        <v>1.8091043462163725E-2</v>
      </c>
      <c r="F853">
        <f t="shared" si="20"/>
        <v>3.2513630867000725</v>
      </c>
    </row>
    <row r="854" spans="1:6" x14ac:dyDescent="0.3">
      <c r="A854">
        <v>1.8237259577631448E-2</v>
      </c>
      <c r="F854">
        <f t="shared" si="20"/>
        <v>3.2504976200783089</v>
      </c>
    </row>
    <row r="855" spans="1:6" x14ac:dyDescent="0.3">
      <c r="A855">
        <v>1.8319060327712577E-2</v>
      </c>
      <c r="F855">
        <f t="shared" si="20"/>
        <v>3.2500114236160749</v>
      </c>
    </row>
    <row r="856" spans="1:6" x14ac:dyDescent="0.3">
      <c r="A856">
        <v>1.8327491573927546E-2</v>
      </c>
      <c r="F856">
        <f t="shared" si="20"/>
        <v>3.2499612291327229</v>
      </c>
    </row>
    <row r="857" spans="1:6" x14ac:dyDescent="0.3">
      <c r="A857">
        <v>1.844503615393478E-2</v>
      </c>
      <c r="F857">
        <f t="shared" si="20"/>
        <v>3.2492598459528219</v>
      </c>
    </row>
    <row r="858" spans="1:6" x14ac:dyDescent="0.3">
      <c r="A858">
        <v>1.867593495546771E-2</v>
      </c>
      <c r="F858">
        <f t="shared" si="20"/>
        <v>3.2478734249785806</v>
      </c>
    </row>
    <row r="859" spans="1:6" x14ac:dyDescent="0.3">
      <c r="A859">
        <v>1.948654385789711E-2</v>
      </c>
      <c r="F859">
        <f t="shared" si="20"/>
        <v>3.2429155087510178</v>
      </c>
    </row>
    <row r="860" spans="1:6" x14ac:dyDescent="0.3">
      <c r="A860">
        <v>1.9600837420313155E-2</v>
      </c>
      <c r="F860">
        <f t="shared" si="20"/>
        <v>3.2422051313180971</v>
      </c>
    </row>
    <row r="861" spans="1:6" x14ac:dyDescent="0.3">
      <c r="A861">
        <v>1.9798288895728433E-2</v>
      </c>
      <c r="F861">
        <f t="shared" si="20"/>
        <v>3.2409713161914269</v>
      </c>
    </row>
    <row r="862" spans="1:6" x14ac:dyDescent="0.3">
      <c r="A862">
        <v>1.9854299273504239E-2</v>
      </c>
      <c r="F862">
        <f t="shared" si="20"/>
        <v>3.2406198076640265</v>
      </c>
    </row>
    <row r="863" spans="1:6" x14ac:dyDescent="0.3">
      <c r="A863">
        <v>2.0243633681957363E-2</v>
      </c>
      <c r="F863">
        <f t="shared" si="20"/>
        <v>3.2381579353635037</v>
      </c>
    </row>
    <row r="864" spans="1:6" x14ac:dyDescent="0.3">
      <c r="A864">
        <v>2.0737529294272861E-2</v>
      </c>
      <c r="F864">
        <f t="shared" si="20"/>
        <v>3.2349884450564654</v>
      </c>
    </row>
    <row r="865" spans="1:6" x14ac:dyDescent="0.3">
      <c r="A865">
        <v>2.0763451594007165E-2</v>
      </c>
      <c r="F865">
        <f t="shared" si="20"/>
        <v>3.2348206610622161</v>
      </c>
    </row>
    <row r="866" spans="1:6" x14ac:dyDescent="0.3">
      <c r="A866">
        <v>2.0950883160708145E-2</v>
      </c>
      <c r="F866">
        <f t="shared" si="20"/>
        <v>3.2336032526932992</v>
      </c>
    </row>
    <row r="867" spans="1:6" x14ac:dyDescent="0.3">
      <c r="A867">
        <v>2.108929398610826E-2</v>
      </c>
      <c r="F867">
        <f t="shared" si="20"/>
        <v>3.2326994619871163</v>
      </c>
    </row>
    <row r="868" spans="1:6" x14ac:dyDescent="0.3">
      <c r="A868">
        <v>2.1361843412364578E-2</v>
      </c>
      <c r="F868">
        <f t="shared" si="20"/>
        <v>3.2309079144803254</v>
      </c>
    </row>
    <row r="869" spans="1:6" x14ac:dyDescent="0.3">
      <c r="A869">
        <v>2.1459106380717685E-2</v>
      </c>
      <c r="F869">
        <f t="shared" si="20"/>
        <v>3.2302647709885233</v>
      </c>
    </row>
    <row r="870" spans="1:6" x14ac:dyDescent="0.3">
      <c r="A870">
        <v>2.1492673794341499E-2</v>
      </c>
      <c r="F870">
        <f t="shared" si="20"/>
        <v>3.2300423449660265</v>
      </c>
    </row>
    <row r="871" spans="1:6" x14ac:dyDescent="0.3">
      <c r="A871">
        <v>2.1705637267814382E-2</v>
      </c>
      <c r="F871">
        <f t="shared" si="20"/>
        <v>3.228625650389267</v>
      </c>
    </row>
    <row r="872" spans="1:6" x14ac:dyDescent="0.3">
      <c r="A872">
        <v>2.1907011844888302E-2</v>
      </c>
      <c r="F872">
        <f t="shared" si="20"/>
        <v>3.2272772436906365</v>
      </c>
    </row>
    <row r="873" spans="1:6" x14ac:dyDescent="0.3">
      <c r="A873">
        <v>2.213755609299195E-2</v>
      </c>
      <c r="F873">
        <f t="shared" si="20"/>
        <v>3.2257230232492486</v>
      </c>
    </row>
    <row r="874" spans="1:6" x14ac:dyDescent="0.3">
      <c r="A874">
        <v>2.2227136485867049E-2</v>
      </c>
      <c r="F874">
        <f t="shared" si="20"/>
        <v>3.2251160960397054</v>
      </c>
    </row>
    <row r="875" spans="1:6" x14ac:dyDescent="0.3">
      <c r="A875">
        <v>2.226921736973958E-2</v>
      </c>
      <c r="F875">
        <f t="shared" si="20"/>
        <v>3.2248304059161321</v>
      </c>
    </row>
    <row r="876" spans="1:6" x14ac:dyDescent="0.3">
      <c r="A876">
        <v>2.2498911445893555E-2</v>
      </c>
      <c r="F876">
        <f t="shared" si="20"/>
        <v>3.2232644360643166</v>
      </c>
    </row>
    <row r="877" spans="1:6" x14ac:dyDescent="0.3">
      <c r="A877">
        <v>2.2571108795091277E-2</v>
      </c>
      <c r="F877">
        <f t="shared" si="20"/>
        <v>3.2227699322356429</v>
      </c>
    </row>
    <row r="878" spans="1:6" x14ac:dyDescent="0.3">
      <c r="A878">
        <v>2.2787155957814775E-2</v>
      </c>
      <c r="F878">
        <f t="shared" si="20"/>
        <v>3.2212836208104236</v>
      </c>
    </row>
    <row r="879" spans="1:6" x14ac:dyDescent="0.3">
      <c r="A879">
        <v>2.3069719684841949E-2</v>
      </c>
      <c r="F879">
        <f t="shared" si="20"/>
        <v>3.2193249448909502</v>
      </c>
    </row>
    <row r="880" spans="1:6" x14ac:dyDescent="0.3">
      <c r="A880">
        <v>2.3381571347727004E-2</v>
      </c>
      <c r="F880">
        <f t="shared" si="20"/>
        <v>3.2171438674780299</v>
      </c>
    </row>
    <row r="881" spans="1:6" x14ac:dyDescent="0.3">
      <c r="A881">
        <v>2.3385509053127862E-2</v>
      </c>
      <c r="F881">
        <f t="shared" si="20"/>
        <v>3.2171161974827371</v>
      </c>
    </row>
    <row r="882" spans="1:6" x14ac:dyDescent="0.3">
      <c r="A882">
        <v>2.3454971112244039E-2</v>
      </c>
      <c r="F882">
        <f t="shared" si="20"/>
        <v>3.2166275602544037</v>
      </c>
    </row>
    <row r="883" spans="1:6" x14ac:dyDescent="0.3">
      <c r="A883">
        <v>2.3518827561929356E-2</v>
      </c>
      <c r="F883">
        <f t="shared" si="20"/>
        <v>3.2161774682779112</v>
      </c>
    </row>
    <row r="884" spans="1:6" x14ac:dyDescent="0.3">
      <c r="A884">
        <v>2.3535280603198316E-2</v>
      </c>
      <c r="F884">
        <f t="shared" si="20"/>
        <v>3.2160613613040527</v>
      </c>
    </row>
    <row r="885" spans="1:6" x14ac:dyDescent="0.3">
      <c r="A885">
        <v>2.3556706355009283E-2</v>
      </c>
      <c r="F885">
        <f t="shared" si="20"/>
        <v>3.2159100779600962</v>
      </c>
    </row>
    <row r="886" spans="1:6" x14ac:dyDescent="0.3">
      <c r="A886">
        <v>2.356628789897286E-2</v>
      </c>
      <c r="F886">
        <f t="shared" si="20"/>
        <v>3.2158423934519247</v>
      </c>
    </row>
    <row r="887" spans="1:6" x14ac:dyDescent="0.3">
      <c r="A887">
        <v>2.3627547935063831E-2</v>
      </c>
      <c r="F887">
        <f t="shared" si="20"/>
        <v>3.2154091972533867</v>
      </c>
    </row>
    <row r="888" spans="1:6" x14ac:dyDescent="0.3">
      <c r="A888">
        <v>2.3649057845602783E-2</v>
      </c>
      <c r="F888">
        <f t="shared" si="20"/>
        <v>3.2152569058927085</v>
      </c>
    </row>
    <row r="889" spans="1:6" x14ac:dyDescent="0.3">
      <c r="A889">
        <v>2.365690263602005E-2</v>
      </c>
      <c r="F889">
        <f t="shared" si="20"/>
        <v>3.215201340354735</v>
      </c>
    </row>
    <row r="890" spans="1:6" x14ac:dyDescent="0.3">
      <c r="A890">
        <v>2.3804511681987606E-2</v>
      </c>
      <c r="F890">
        <f t="shared" si="20"/>
        <v>3.2141534196447687</v>
      </c>
    </row>
    <row r="891" spans="1:6" x14ac:dyDescent="0.3">
      <c r="A891">
        <v>2.3849519041710204E-2</v>
      </c>
      <c r="F891">
        <f t="shared" si="20"/>
        <v>3.2138329967558978</v>
      </c>
    </row>
    <row r="892" spans="1:6" x14ac:dyDescent="0.3">
      <c r="A892">
        <v>2.3968171475530653E-2</v>
      </c>
      <c r="F892">
        <f t="shared" si="20"/>
        <v>3.2129862497984969</v>
      </c>
    </row>
    <row r="893" spans="1:6" x14ac:dyDescent="0.3">
      <c r="A893">
        <v>2.4044878557671012E-2</v>
      </c>
      <c r="F893">
        <f t="shared" si="20"/>
        <v>3.2124372826071932</v>
      </c>
    </row>
    <row r="894" spans="1:6" x14ac:dyDescent="0.3">
      <c r="A894">
        <v>2.4063446813102018E-2</v>
      </c>
      <c r="F894">
        <f t="shared" si="20"/>
        <v>3.2123042119693084</v>
      </c>
    </row>
    <row r="895" spans="1:6" x14ac:dyDescent="0.3">
      <c r="A895">
        <v>2.4185838889991373E-2</v>
      </c>
      <c r="F895">
        <f t="shared" si="20"/>
        <v>3.2114252896680893</v>
      </c>
    </row>
    <row r="896" spans="1:6" x14ac:dyDescent="0.3">
      <c r="A896">
        <v>2.4216201237550194E-2</v>
      </c>
      <c r="F896">
        <f t="shared" si="20"/>
        <v>3.2112067701255809</v>
      </c>
    </row>
    <row r="897" spans="1:6" x14ac:dyDescent="0.3">
      <c r="A897">
        <v>2.4469114732998093E-2</v>
      </c>
      <c r="F897">
        <f t="shared" si="20"/>
        <v>3.2093791085143626</v>
      </c>
    </row>
    <row r="898" spans="1:6" x14ac:dyDescent="0.3">
      <c r="A898">
        <v>2.4732461355540636E-2</v>
      </c>
      <c r="F898">
        <f t="shared" si="20"/>
        <v>3.207461973703519</v>
      </c>
    </row>
    <row r="899" spans="1:6" x14ac:dyDescent="0.3">
      <c r="A899">
        <v>2.4746593408394801E-2</v>
      </c>
      <c r="F899">
        <f t="shared" ref="F899:F962" si="21">_xlfn.NORM.DIST(A899,$J$6,$K$6,FALSE)</f>
        <v>3.2073586883299052</v>
      </c>
    </row>
    <row r="900" spans="1:6" x14ac:dyDescent="0.3">
      <c r="A900">
        <v>2.4925802600108682E-2</v>
      </c>
      <c r="F900">
        <f t="shared" si="21"/>
        <v>3.2060453423183288</v>
      </c>
    </row>
    <row r="901" spans="1:6" x14ac:dyDescent="0.3">
      <c r="A901">
        <v>2.50827014110655E-2</v>
      </c>
      <c r="F901">
        <f t="shared" si="21"/>
        <v>3.2048900558358464</v>
      </c>
    </row>
    <row r="902" spans="1:6" x14ac:dyDescent="0.3">
      <c r="A902">
        <v>2.5247856766554833E-2</v>
      </c>
      <c r="F902">
        <f t="shared" si="21"/>
        <v>3.2036684905573471</v>
      </c>
    </row>
    <row r="903" spans="1:6" x14ac:dyDescent="0.3">
      <c r="A903">
        <v>2.548720668085025E-2</v>
      </c>
      <c r="F903">
        <f t="shared" si="21"/>
        <v>3.2018881798455769</v>
      </c>
    </row>
    <row r="904" spans="1:6" x14ac:dyDescent="0.3">
      <c r="A904">
        <v>2.5731952112550971E-2</v>
      </c>
      <c r="F904">
        <f t="shared" si="21"/>
        <v>3.2000555576373175</v>
      </c>
    </row>
    <row r="905" spans="1:6" x14ac:dyDescent="0.3">
      <c r="A905">
        <v>2.5818808441499641E-2</v>
      </c>
      <c r="F905">
        <f t="shared" si="21"/>
        <v>3.1994022321817832</v>
      </c>
    </row>
    <row r="906" spans="1:6" x14ac:dyDescent="0.3">
      <c r="A906">
        <v>2.5853078668731655E-2</v>
      </c>
      <c r="F906">
        <f t="shared" si="21"/>
        <v>3.1991440289164701</v>
      </c>
    </row>
    <row r="907" spans="1:6" x14ac:dyDescent="0.3">
      <c r="A907">
        <v>2.5923849163746127E-2</v>
      </c>
      <c r="F907">
        <f t="shared" si="21"/>
        <v>3.1986100585050194</v>
      </c>
    </row>
    <row r="908" spans="1:6" x14ac:dyDescent="0.3">
      <c r="A908">
        <v>2.6087158960990564E-2</v>
      </c>
      <c r="F908">
        <f t="shared" si="21"/>
        <v>3.1973739538969892</v>
      </c>
    </row>
    <row r="909" spans="1:6" x14ac:dyDescent="0.3">
      <c r="A909">
        <v>2.6136052567593993E-2</v>
      </c>
      <c r="F909">
        <f t="shared" si="21"/>
        <v>3.1970028122855578</v>
      </c>
    </row>
    <row r="910" spans="1:6" x14ac:dyDescent="0.3">
      <c r="A910">
        <v>2.6242230249636123E-2</v>
      </c>
      <c r="F910">
        <f t="shared" si="21"/>
        <v>3.1961951545716984</v>
      </c>
    </row>
    <row r="911" spans="1:6" x14ac:dyDescent="0.3">
      <c r="A911">
        <v>2.6283508363007968E-2</v>
      </c>
      <c r="F911">
        <f t="shared" si="21"/>
        <v>3.1958805436617519</v>
      </c>
    </row>
    <row r="912" spans="1:6" x14ac:dyDescent="0.3">
      <c r="A912">
        <v>2.6485606229016412E-2</v>
      </c>
      <c r="F912">
        <f t="shared" si="21"/>
        <v>3.1943351829635227</v>
      </c>
    </row>
    <row r="913" spans="1:6" x14ac:dyDescent="0.3">
      <c r="A913">
        <v>2.653992031751784E-2</v>
      </c>
      <c r="F913">
        <f t="shared" si="21"/>
        <v>3.1939184436310319</v>
      </c>
    </row>
    <row r="914" spans="1:6" x14ac:dyDescent="0.3">
      <c r="A914">
        <v>2.6609248488853154E-2</v>
      </c>
      <c r="F914">
        <f t="shared" si="21"/>
        <v>3.1933856305694679</v>
      </c>
    </row>
    <row r="915" spans="1:6" x14ac:dyDescent="0.3">
      <c r="A915">
        <v>2.6915474188813293E-2</v>
      </c>
      <c r="F915">
        <f t="shared" si="21"/>
        <v>3.1910204555253836</v>
      </c>
    </row>
    <row r="916" spans="1:6" x14ac:dyDescent="0.3">
      <c r="A916">
        <v>2.696724545626239E-2</v>
      </c>
      <c r="F916">
        <f t="shared" si="21"/>
        <v>3.1906187072625865</v>
      </c>
    </row>
    <row r="917" spans="1:6" x14ac:dyDescent="0.3">
      <c r="A917">
        <v>2.6997023562159939E-2</v>
      </c>
      <c r="F917">
        <f t="shared" si="21"/>
        <v>3.1903873804443932</v>
      </c>
    </row>
    <row r="918" spans="1:6" x14ac:dyDescent="0.3">
      <c r="A918">
        <v>2.7030033411117815E-2</v>
      </c>
      <c r="F918">
        <f t="shared" si="21"/>
        <v>3.1901307376754566</v>
      </c>
    </row>
    <row r="919" spans="1:6" x14ac:dyDescent="0.3">
      <c r="A919">
        <v>2.7042263469496675E-2</v>
      </c>
      <c r="F919">
        <f t="shared" si="21"/>
        <v>3.1900355960170632</v>
      </c>
    </row>
    <row r="920" spans="1:6" x14ac:dyDescent="0.3">
      <c r="A920">
        <v>2.7050233240458965E-2</v>
      </c>
      <c r="F920">
        <f t="shared" si="21"/>
        <v>3.189973580184676</v>
      </c>
    </row>
    <row r="921" spans="1:6" x14ac:dyDescent="0.3">
      <c r="A921">
        <v>2.8252235257235803E-2</v>
      </c>
      <c r="F921">
        <f t="shared" si="21"/>
        <v>3.1804730600964559</v>
      </c>
    </row>
    <row r="922" spans="1:6" x14ac:dyDescent="0.3">
      <c r="A922">
        <v>2.8348101110694301E-2</v>
      </c>
      <c r="F922">
        <f t="shared" si="21"/>
        <v>3.1797027881900144</v>
      </c>
    </row>
    <row r="923" spans="1:6" x14ac:dyDescent="0.3">
      <c r="A923">
        <v>2.8630742477702142E-2</v>
      </c>
      <c r="F923">
        <f t="shared" si="21"/>
        <v>3.1774210440580326</v>
      </c>
    </row>
    <row r="924" spans="1:6" x14ac:dyDescent="0.3">
      <c r="A924">
        <v>2.8698192000916833E-2</v>
      </c>
      <c r="F924">
        <f t="shared" si="21"/>
        <v>3.176874158626033</v>
      </c>
    </row>
    <row r="925" spans="1:6" x14ac:dyDescent="0.3">
      <c r="A925">
        <v>2.8712305862271137E-2</v>
      </c>
      <c r="F925">
        <f t="shared" si="21"/>
        <v>3.1767596070247968</v>
      </c>
    </row>
    <row r="926" spans="1:6" x14ac:dyDescent="0.3">
      <c r="A926">
        <v>2.8851248556861719E-2</v>
      </c>
      <c r="F926">
        <f t="shared" si="21"/>
        <v>3.1756297825300388</v>
      </c>
    </row>
    <row r="927" spans="1:6" x14ac:dyDescent="0.3">
      <c r="A927">
        <v>2.9138331978202814E-2</v>
      </c>
      <c r="F927">
        <f t="shared" si="21"/>
        <v>3.1732830973726385</v>
      </c>
    </row>
    <row r="928" spans="1:6" x14ac:dyDescent="0.3">
      <c r="A928">
        <v>2.925356612070118E-2</v>
      </c>
      <c r="F928">
        <f t="shared" si="21"/>
        <v>3.172336513937597</v>
      </c>
    </row>
    <row r="929" spans="1:6" x14ac:dyDescent="0.3">
      <c r="A929">
        <v>2.9308390075087232E-2</v>
      </c>
      <c r="F929">
        <f t="shared" si="21"/>
        <v>3.171885235497653</v>
      </c>
    </row>
    <row r="930" spans="1:6" x14ac:dyDescent="0.3">
      <c r="A930">
        <v>2.9479664929126681E-2</v>
      </c>
      <c r="F930">
        <f t="shared" si="21"/>
        <v>3.1704715402996086</v>
      </c>
    </row>
    <row r="931" spans="1:6" x14ac:dyDescent="0.3">
      <c r="A931">
        <v>2.9991076923892024E-2</v>
      </c>
      <c r="F931">
        <f t="shared" si="21"/>
        <v>3.1662156239551558</v>
      </c>
    </row>
    <row r="932" spans="1:6" x14ac:dyDescent="0.3">
      <c r="A932">
        <v>3.019850382180031E-2</v>
      </c>
      <c r="F932">
        <f t="shared" si="21"/>
        <v>3.1644746382365594</v>
      </c>
    </row>
    <row r="933" spans="1:6" x14ac:dyDescent="0.3">
      <c r="A933">
        <v>3.0335569145570673E-2</v>
      </c>
      <c r="F933">
        <f t="shared" si="21"/>
        <v>3.1633195390614293</v>
      </c>
    </row>
    <row r="934" spans="1:6" x14ac:dyDescent="0.3">
      <c r="A934">
        <v>3.1639843140851553E-2</v>
      </c>
      <c r="F934">
        <f t="shared" si="21"/>
        <v>3.1521426778143384</v>
      </c>
    </row>
    <row r="935" spans="1:6" x14ac:dyDescent="0.3">
      <c r="A935">
        <v>3.1842479117813127E-2</v>
      </c>
      <c r="F935">
        <f t="shared" si="21"/>
        <v>3.1503762573836753</v>
      </c>
    </row>
    <row r="936" spans="1:6" x14ac:dyDescent="0.3">
      <c r="A936">
        <v>3.1879145355730998E-2</v>
      </c>
      <c r="F936">
        <f t="shared" si="21"/>
        <v>3.1500557734226922</v>
      </c>
    </row>
    <row r="937" spans="1:6" x14ac:dyDescent="0.3">
      <c r="A937">
        <v>3.2089294070942742E-2</v>
      </c>
      <c r="F937">
        <f t="shared" si="21"/>
        <v>3.1482138959290014</v>
      </c>
    </row>
    <row r="938" spans="1:6" x14ac:dyDescent="0.3">
      <c r="A938">
        <v>3.2155444479576634E-2</v>
      </c>
      <c r="F938">
        <f t="shared" si="21"/>
        <v>3.1476323311599348</v>
      </c>
    </row>
    <row r="939" spans="1:6" x14ac:dyDescent="0.3">
      <c r="A939">
        <v>3.2161763235791341E-2</v>
      </c>
      <c r="F939">
        <f t="shared" si="21"/>
        <v>3.1475767349183967</v>
      </c>
    </row>
    <row r="940" spans="1:6" x14ac:dyDescent="0.3">
      <c r="A940">
        <v>3.2462632904980637E-2</v>
      </c>
      <c r="F940">
        <f t="shared" si="21"/>
        <v>3.1449205165234688</v>
      </c>
    </row>
    <row r="941" spans="1:6" x14ac:dyDescent="0.3">
      <c r="A941">
        <v>3.2731650293773507E-2</v>
      </c>
      <c r="F941">
        <f t="shared" si="21"/>
        <v>3.1425306271985298</v>
      </c>
    </row>
    <row r="942" spans="1:6" x14ac:dyDescent="0.3">
      <c r="A942">
        <v>3.3097794640796707E-2</v>
      </c>
      <c r="F942">
        <f t="shared" si="21"/>
        <v>3.139255380183176</v>
      </c>
    </row>
    <row r="943" spans="1:6" x14ac:dyDescent="0.3">
      <c r="A943">
        <v>3.3155126621238651E-2</v>
      </c>
      <c r="F943">
        <f t="shared" si="21"/>
        <v>3.1387401878622279</v>
      </c>
    </row>
    <row r="944" spans="1:6" x14ac:dyDescent="0.3">
      <c r="A944">
        <v>3.3418080661348881E-2</v>
      </c>
      <c r="F944">
        <f t="shared" si="21"/>
        <v>3.1363691352618184</v>
      </c>
    </row>
    <row r="945" spans="1:6" x14ac:dyDescent="0.3">
      <c r="A945">
        <v>3.3634335600197574E-2</v>
      </c>
      <c r="F945">
        <f t="shared" si="21"/>
        <v>3.1344091994319117</v>
      </c>
    </row>
    <row r="946" spans="1:6" x14ac:dyDescent="0.3">
      <c r="A946">
        <v>3.3719672865714756E-2</v>
      </c>
      <c r="F946">
        <f t="shared" si="21"/>
        <v>3.1336333097053566</v>
      </c>
    </row>
    <row r="947" spans="1:6" x14ac:dyDescent="0.3">
      <c r="A947">
        <v>3.3927969917499468E-2</v>
      </c>
      <c r="F947">
        <f t="shared" si="21"/>
        <v>3.1317336014640795</v>
      </c>
    </row>
    <row r="948" spans="1:6" x14ac:dyDescent="0.3">
      <c r="A948">
        <v>3.3950737699527167E-2</v>
      </c>
      <c r="F948">
        <f t="shared" si="21"/>
        <v>3.1315254511952704</v>
      </c>
    </row>
    <row r="949" spans="1:6" x14ac:dyDescent="0.3">
      <c r="A949">
        <v>3.405755159610635E-2</v>
      </c>
      <c r="F949">
        <f t="shared" si="21"/>
        <v>3.1305476006384678</v>
      </c>
    </row>
    <row r="950" spans="1:6" x14ac:dyDescent="0.3">
      <c r="A950">
        <v>3.4339213465500507E-2</v>
      </c>
      <c r="F950">
        <f t="shared" si="21"/>
        <v>3.1279586133221118</v>
      </c>
    </row>
    <row r="951" spans="1:6" x14ac:dyDescent="0.3">
      <c r="A951">
        <v>3.4575990168107751E-2</v>
      </c>
      <c r="F951">
        <f t="shared" si="21"/>
        <v>3.1257704984663706</v>
      </c>
    </row>
    <row r="952" spans="1:6" x14ac:dyDescent="0.3">
      <c r="A952">
        <v>3.4675432823291885E-2</v>
      </c>
      <c r="F952">
        <f t="shared" si="21"/>
        <v>3.124848341603756</v>
      </c>
    </row>
    <row r="953" spans="1:6" x14ac:dyDescent="0.3">
      <c r="A953">
        <v>3.4706157063579324E-2</v>
      </c>
      <c r="F953">
        <f t="shared" si="21"/>
        <v>3.1245630478572921</v>
      </c>
    </row>
    <row r="954" spans="1:6" x14ac:dyDescent="0.3">
      <c r="A954">
        <v>3.4726955611915855E-2</v>
      </c>
      <c r="F954">
        <f t="shared" si="21"/>
        <v>3.1243698185570752</v>
      </c>
    </row>
    <row r="955" spans="1:6" x14ac:dyDescent="0.3">
      <c r="A955">
        <v>3.484711918326866E-2</v>
      </c>
      <c r="F955">
        <f t="shared" si="21"/>
        <v>3.1232518284626334</v>
      </c>
    </row>
    <row r="956" spans="1:6" x14ac:dyDescent="0.3">
      <c r="A956">
        <v>3.5040307467029241E-2</v>
      </c>
      <c r="F956">
        <f t="shared" si="21"/>
        <v>3.1214486823953549</v>
      </c>
    </row>
    <row r="957" spans="1:6" x14ac:dyDescent="0.3">
      <c r="A957">
        <v>3.5282705741097931E-2</v>
      </c>
      <c r="F957">
        <f t="shared" si="21"/>
        <v>3.1191762335502244</v>
      </c>
    </row>
    <row r="958" spans="1:6" x14ac:dyDescent="0.3">
      <c r="A958">
        <v>3.5345798489714753E-2</v>
      </c>
      <c r="F958">
        <f t="shared" si="21"/>
        <v>3.1185829265052263</v>
      </c>
    </row>
    <row r="959" spans="1:6" x14ac:dyDescent="0.3">
      <c r="A959">
        <v>3.5652321261068209E-2</v>
      </c>
      <c r="F959">
        <f t="shared" si="21"/>
        <v>3.1156897837932287</v>
      </c>
    </row>
    <row r="960" spans="1:6" x14ac:dyDescent="0.3">
      <c r="A960">
        <v>3.5789463805043109E-2</v>
      </c>
      <c r="F960">
        <f t="shared" si="21"/>
        <v>3.1143896223736331</v>
      </c>
    </row>
    <row r="961" spans="1:6" x14ac:dyDescent="0.3">
      <c r="A961">
        <v>3.5828757037961623E-2</v>
      </c>
      <c r="F961">
        <f t="shared" si="21"/>
        <v>3.1140164564397752</v>
      </c>
    </row>
    <row r="962" spans="1:6" x14ac:dyDescent="0.3">
      <c r="A962">
        <v>3.6014962473700507E-2</v>
      </c>
      <c r="F962">
        <f t="shared" si="21"/>
        <v>3.1122441299292976</v>
      </c>
    </row>
    <row r="963" spans="1:6" x14ac:dyDescent="0.3">
      <c r="A963">
        <v>3.6058941879787199E-2</v>
      </c>
      <c r="F963">
        <f t="shared" ref="F963:F1026" si="22">_xlfn.NORM.DIST(A963,$J$6,$K$6,FALSE)</f>
        <v>3.1118245788153578</v>
      </c>
    </row>
    <row r="964" spans="1:6" x14ac:dyDescent="0.3">
      <c r="A964">
        <v>3.6237136530587577E-2</v>
      </c>
      <c r="F964">
        <f t="shared" si="22"/>
        <v>3.1101209434253279</v>
      </c>
    </row>
    <row r="965" spans="1:6" x14ac:dyDescent="0.3">
      <c r="A965">
        <v>3.6409915249567104E-2</v>
      </c>
      <c r="F965">
        <f t="shared" si="22"/>
        <v>3.1084634141136518</v>
      </c>
    </row>
    <row r="966" spans="1:6" x14ac:dyDescent="0.3">
      <c r="A966">
        <v>3.6700794972034601E-2</v>
      </c>
      <c r="F966">
        <f t="shared" si="22"/>
        <v>3.1056603090426091</v>
      </c>
    </row>
    <row r="967" spans="1:6" x14ac:dyDescent="0.3">
      <c r="A967">
        <v>3.6880986302307406E-2</v>
      </c>
      <c r="F967">
        <f t="shared" si="22"/>
        <v>3.103915962732231</v>
      </c>
    </row>
    <row r="968" spans="1:6" x14ac:dyDescent="0.3">
      <c r="A968">
        <v>3.7083718014031319E-2</v>
      </c>
      <c r="F968">
        <f t="shared" si="22"/>
        <v>3.101946199886227</v>
      </c>
    </row>
    <row r="969" spans="1:6" x14ac:dyDescent="0.3">
      <c r="A969">
        <v>3.7219280598378646E-2</v>
      </c>
      <c r="F969">
        <f t="shared" si="22"/>
        <v>3.1006248055208356</v>
      </c>
    </row>
    <row r="970" spans="1:6" x14ac:dyDescent="0.3">
      <c r="A970">
        <v>3.7463510096813479E-2</v>
      </c>
      <c r="F970">
        <f t="shared" si="22"/>
        <v>3.0982355955091792</v>
      </c>
    </row>
    <row r="971" spans="1:6" x14ac:dyDescent="0.3">
      <c r="A971">
        <v>3.7900839081999038E-2</v>
      </c>
      <c r="F971">
        <f t="shared" si="22"/>
        <v>3.0939298494033758</v>
      </c>
    </row>
    <row r="972" spans="1:6" x14ac:dyDescent="0.3">
      <c r="A972">
        <v>3.8047950900136129E-2</v>
      </c>
      <c r="F972">
        <f t="shared" si="22"/>
        <v>3.0924735391377598</v>
      </c>
    </row>
    <row r="973" spans="1:6" x14ac:dyDescent="0.3">
      <c r="A973">
        <v>3.816222619759202E-2</v>
      </c>
      <c r="F973">
        <f t="shared" si="22"/>
        <v>3.0913395465986677</v>
      </c>
    </row>
    <row r="974" spans="1:6" x14ac:dyDescent="0.3">
      <c r="A974">
        <v>3.8234039222515781E-2</v>
      </c>
      <c r="F974">
        <f t="shared" si="22"/>
        <v>3.0906256962076606</v>
      </c>
    </row>
    <row r="975" spans="1:6" x14ac:dyDescent="0.3">
      <c r="A975">
        <v>3.8572788386900925E-2</v>
      </c>
      <c r="F975">
        <f t="shared" si="22"/>
        <v>3.0872456642560238</v>
      </c>
    </row>
    <row r="976" spans="1:6" x14ac:dyDescent="0.3">
      <c r="A976">
        <v>3.8684493928201391E-2</v>
      </c>
      <c r="F976">
        <f t="shared" si="22"/>
        <v>3.0861264721291906</v>
      </c>
    </row>
    <row r="977" spans="1:6" x14ac:dyDescent="0.3">
      <c r="A977">
        <v>3.9228087759125785E-2</v>
      </c>
      <c r="F977">
        <f t="shared" si="22"/>
        <v>3.0806477126435858</v>
      </c>
    </row>
    <row r="978" spans="1:6" x14ac:dyDescent="0.3">
      <c r="A978">
        <v>3.9258853438752794E-2</v>
      </c>
      <c r="F978">
        <f t="shared" si="22"/>
        <v>3.080336027945592</v>
      </c>
    </row>
    <row r="979" spans="1:6" x14ac:dyDescent="0.3">
      <c r="A979">
        <v>3.945770538399529E-2</v>
      </c>
      <c r="F979">
        <f t="shared" si="22"/>
        <v>3.0783173406184337</v>
      </c>
    </row>
    <row r="980" spans="1:6" x14ac:dyDescent="0.3">
      <c r="A980">
        <v>3.9936155535031048E-2</v>
      </c>
      <c r="F980">
        <f t="shared" si="22"/>
        <v>3.0734309921655676</v>
      </c>
    </row>
    <row r="981" spans="1:6" x14ac:dyDescent="0.3">
      <c r="A981">
        <v>3.9949136267804164E-2</v>
      </c>
      <c r="F981">
        <f t="shared" si="22"/>
        <v>3.0732978471162484</v>
      </c>
    </row>
    <row r="982" spans="1:6" x14ac:dyDescent="0.3">
      <c r="A982">
        <v>4.018365395404544E-2</v>
      </c>
      <c r="F982">
        <f t="shared" si="22"/>
        <v>3.0708871556230597</v>
      </c>
    </row>
    <row r="983" spans="1:6" x14ac:dyDescent="0.3">
      <c r="A983">
        <v>4.0798164508203172E-2</v>
      </c>
      <c r="F983">
        <f t="shared" si="22"/>
        <v>3.0645236717184536</v>
      </c>
    </row>
    <row r="984" spans="1:6" x14ac:dyDescent="0.3">
      <c r="A984">
        <v>4.0897629000927693E-2</v>
      </c>
      <c r="F984">
        <f t="shared" si="22"/>
        <v>3.0634873453440856</v>
      </c>
    </row>
    <row r="985" spans="1:6" x14ac:dyDescent="0.3">
      <c r="A985">
        <v>4.1198481795561293E-2</v>
      </c>
      <c r="F985">
        <f t="shared" si="22"/>
        <v>3.0603420409515891</v>
      </c>
    </row>
    <row r="986" spans="1:6" x14ac:dyDescent="0.3">
      <c r="A986">
        <v>4.1590027752704373E-2</v>
      </c>
      <c r="F986">
        <f t="shared" si="22"/>
        <v>3.056224557671364</v>
      </c>
    </row>
    <row r="987" spans="1:6" x14ac:dyDescent="0.3">
      <c r="A987">
        <v>4.1964596767911644E-2</v>
      </c>
      <c r="F987">
        <f t="shared" si="22"/>
        <v>3.0522602889266786</v>
      </c>
    </row>
    <row r="988" spans="1:6" x14ac:dyDescent="0.3">
      <c r="A988">
        <v>4.1991582900813285E-2</v>
      </c>
      <c r="F988">
        <f t="shared" si="22"/>
        <v>3.0519737269717542</v>
      </c>
    </row>
    <row r="989" spans="1:6" x14ac:dyDescent="0.3">
      <c r="A989">
        <v>4.2322692968531084E-2</v>
      </c>
      <c r="F989">
        <f t="shared" si="22"/>
        <v>3.0484473189821419</v>
      </c>
    </row>
    <row r="990" spans="1:6" x14ac:dyDescent="0.3">
      <c r="A990">
        <v>4.3122239760805314E-2</v>
      </c>
      <c r="F990">
        <f t="shared" si="22"/>
        <v>3.0398530370347148</v>
      </c>
    </row>
    <row r="991" spans="1:6" x14ac:dyDescent="0.3">
      <c r="A991">
        <v>4.3610101582215795E-2</v>
      </c>
      <c r="F991">
        <f t="shared" si="22"/>
        <v>3.0345545785916328</v>
      </c>
    </row>
    <row r="992" spans="1:6" x14ac:dyDescent="0.3">
      <c r="A992">
        <v>4.3778838957109656E-2</v>
      </c>
      <c r="F992">
        <f t="shared" si="22"/>
        <v>3.0327124445766169</v>
      </c>
    </row>
    <row r="993" spans="1:6" x14ac:dyDescent="0.3">
      <c r="A993">
        <v>4.4141203391503903E-2</v>
      </c>
      <c r="F993">
        <f t="shared" si="22"/>
        <v>3.0287399334963538</v>
      </c>
    </row>
    <row r="994" spans="1:6" x14ac:dyDescent="0.3">
      <c r="A994">
        <v>4.4183716715679111E-2</v>
      </c>
      <c r="F994">
        <f t="shared" si="22"/>
        <v>3.0282723966704057</v>
      </c>
    </row>
    <row r="995" spans="1:6" x14ac:dyDescent="0.3">
      <c r="A995">
        <v>4.4213049611528277E-2</v>
      </c>
      <c r="F995">
        <f t="shared" si="22"/>
        <v>3.0279496304102183</v>
      </c>
    </row>
    <row r="996" spans="1:6" x14ac:dyDescent="0.3">
      <c r="A996">
        <v>4.4257961450909988E-2</v>
      </c>
      <c r="F996">
        <f t="shared" si="22"/>
        <v>3.0274551554652609</v>
      </c>
    </row>
    <row r="997" spans="1:6" x14ac:dyDescent="0.3">
      <c r="A997">
        <v>4.4293404207451204E-2</v>
      </c>
      <c r="F997">
        <f t="shared" si="22"/>
        <v>3.0270646910090617</v>
      </c>
    </row>
    <row r="998" spans="1:6" x14ac:dyDescent="0.3">
      <c r="A998">
        <v>4.4361690037362678E-2</v>
      </c>
      <c r="F998">
        <f t="shared" si="22"/>
        <v>3.0263117977487286</v>
      </c>
    </row>
    <row r="999" spans="1:6" x14ac:dyDescent="0.3">
      <c r="A999">
        <v>4.4434670047768243E-2</v>
      </c>
      <c r="F999">
        <f t="shared" si="22"/>
        <v>3.0255062691525811</v>
      </c>
    </row>
    <row r="1000" spans="1:6" x14ac:dyDescent="0.3">
      <c r="A1000">
        <v>4.5574956675300093E-2</v>
      </c>
      <c r="F1000">
        <f t="shared" si="22"/>
        <v>3.0128028422370137</v>
      </c>
    </row>
    <row r="1001" spans="1:6" x14ac:dyDescent="0.3">
      <c r="A1001">
        <v>4.604182881359975E-2</v>
      </c>
      <c r="F1001">
        <f t="shared" si="22"/>
        <v>3.0075384499107765</v>
      </c>
    </row>
    <row r="1002" spans="1:6" x14ac:dyDescent="0.3">
      <c r="A1002">
        <v>4.6223030431804091E-2</v>
      </c>
      <c r="F1002">
        <f t="shared" si="22"/>
        <v>3.0054854320527089</v>
      </c>
    </row>
    <row r="1003" spans="1:6" x14ac:dyDescent="0.3">
      <c r="A1003">
        <v>4.6240781459445657E-2</v>
      </c>
      <c r="F1003">
        <f t="shared" si="22"/>
        <v>3.0052840183782696</v>
      </c>
    </row>
    <row r="1004" spans="1:6" x14ac:dyDescent="0.3">
      <c r="A1004">
        <v>4.6507246711922204E-2</v>
      </c>
      <c r="F1004">
        <f t="shared" si="22"/>
        <v>3.0022542500839271</v>
      </c>
    </row>
    <row r="1005" spans="1:6" x14ac:dyDescent="0.3">
      <c r="A1005">
        <v>4.6589711929243549E-2</v>
      </c>
      <c r="F1005">
        <f t="shared" si="22"/>
        <v>3.0013142143729716</v>
      </c>
    </row>
    <row r="1006" spans="1:6" x14ac:dyDescent="0.3">
      <c r="A1006">
        <v>4.6721015197533688E-2</v>
      </c>
      <c r="F1006">
        <f t="shared" si="22"/>
        <v>2.999815140472835</v>
      </c>
    </row>
    <row r="1007" spans="1:6" x14ac:dyDescent="0.3">
      <c r="A1007">
        <v>4.680744340416787E-2</v>
      </c>
      <c r="F1007">
        <f t="shared" si="22"/>
        <v>2.998826843482929</v>
      </c>
    </row>
    <row r="1008" spans="1:6" x14ac:dyDescent="0.3">
      <c r="A1008">
        <v>4.6941515255383592E-2</v>
      </c>
      <c r="F1008">
        <f t="shared" si="22"/>
        <v>2.9972913055215828</v>
      </c>
    </row>
    <row r="1009" spans="1:6" x14ac:dyDescent="0.3">
      <c r="A1009">
        <v>4.7044433199857849E-2</v>
      </c>
      <c r="F1009">
        <f t="shared" si="22"/>
        <v>2.996110565159261</v>
      </c>
    </row>
    <row r="1010" spans="1:6" x14ac:dyDescent="0.3">
      <c r="A1010">
        <v>4.7513498601581716E-2</v>
      </c>
      <c r="F1010">
        <f t="shared" si="22"/>
        <v>2.9907070952831742</v>
      </c>
    </row>
    <row r="1011" spans="1:6" x14ac:dyDescent="0.3">
      <c r="A1011">
        <v>4.8029536054002619E-2</v>
      </c>
      <c r="F1011">
        <f t="shared" si="22"/>
        <v>2.9847209474242793</v>
      </c>
    </row>
    <row r="1012" spans="1:6" x14ac:dyDescent="0.3">
      <c r="A1012">
        <v>4.8546288375760582E-2</v>
      </c>
      <c r="F1012">
        <f t="shared" si="22"/>
        <v>2.9786831580132369</v>
      </c>
    </row>
    <row r="1013" spans="1:6" x14ac:dyDescent="0.3">
      <c r="A1013">
        <v>4.8764716653977302E-2</v>
      </c>
      <c r="F1013">
        <f t="shared" si="22"/>
        <v>2.9761180510411309</v>
      </c>
    </row>
    <row r="1014" spans="1:6" x14ac:dyDescent="0.3">
      <c r="A1014">
        <v>4.8961263209577055E-2</v>
      </c>
      <c r="F1014">
        <f t="shared" si="22"/>
        <v>2.9738033539252702</v>
      </c>
    </row>
    <row r="1015" spans="1:6" x14ac:dyDescent="0.3">
      <c r="A1015">
        <v>4.9075170428523052E-2</v>
      </c>
      <c r="F1015">
        <f t="shared" si="22"/>
        <v>2.9724590508632258</v>
      </c>
    </row>
    <row r="1016" spans="1:6" x14ac:dyDescent="0.3">
      <c r="A1016">
        <v>4.9630853255735019E-2</v>
      </c>
      <c r="F1016">
        <f t="shared" si="22"/>
        <v>2.9658713100376102</v>
      </c>
    </row>
    <row r="1017" spans="1:6" x14ac:dyDescent="0.3">
      <c r="A1017">
        <v>4.9804158996753056E-2</v>
      </c>
      <c r="F1017">
        <f t="shared" si="22"/>
        <v>2.9638066827270078</v>
      </c>
    </row>
    <row r="1018" spans="1:6" x14ac:dyDescent="0.3">
      <c r="A1018">
        <v>5.0376628931815048E-2</v>
      </c>
      <c r="F1018">
        <f t="shared" si="22"/>
        <v>2.956952979959822</v>
      </c>
    </row>
    <row r="1019" spans="1:6" x14ac:dyDescent="0.3">
      <c r="A1019">
        <v>5.1366847465487808E-2</v>
      </c>
      <c r="F1019">
        <f t="shared" si="22"/>
        <v>2.9449766343167552</v>
      </c>
    </row>
    <row r="1020" spans="1:6" x14ac:dyDescent="0.3">
      <c r="A1020">
        <v>5.1515978087594561E-2</v>
      </c>
      <c r="F1020">
        <f t="shared" si="22"/>
        <v>2.9431597462253638</v>
      </c>
    </row>
    <row r="1021" spans="1:6" x14ac:dyDescent="0.3">
      <c r="A1021">
        <v>5.1801111266684075E-2</v>
      </c>
      <c r="F1021">
        <f t="shared" si="22"/>
        <v>2.9396763569224191</v>
      </c>
    </row>
    <row r="1022" spans="1:6" x14ac:dyDescent="0.3">
      <c r="A1022">
        <v>5.1966487163099373E-2</v>
      </c>
      <c r="F1022">
        <f t="shared" si="22"/>
        <v>2.9376502758831644</v>
      </c>
    </row>
    <row r="1023" spans="1:6" x14ac:dyDescent="0.3">
      <c r="A1023">
        <v>5.2715614550251644E-2</v>
      </c>
      <c r="F1023">
        <f t="shared" si="22"/>
        <v>2.9284200573749777</v>
      </c>
    </row>
    <row r="1024" spans="1:6" x14ac:dyDescent="0.3">
      <c r="A1024">
        <v>5.3365025505229369E-2</v>
      </c>
      <c r="F1024">
        <f t="shared" si="22"/>
        <v>2.9203495876344348</v>
      </c>
    </row>
    <row r="1025" spans="1:6" x14ac:dyDescent="0.3">
      <c r="A1025">
        <v>5.4337769880021369E-2</v>
      </c>
      <c r="F1025">
        <f t="shared" si="22"/>
        <v>2.9081427310411838</v>
      </c>
    </row>
    <row r="1026" spans="1:6" x14ac:dyDescent="0.3">
      <c r="A1026">
        <v>5.4754782117887757E-2</v>
      </c>
      <c r="F1026">
        <f t="shared" si="22"/>
        <v>2.9028667495210532</v>
      </c>
    </row>
    <row r="1027" spans="1:6" x14ac:dyDescent="0.3">
      <c r="A1027">
        <v>5.4895521371804534E-2</v>
      </c>
      <c r="F1027">
        <f t="shared" ref="F1027:F1090" si="23">_xlfn.NORM.DIST(A1027,$J$6,$K$6,FALSE)</f>
        <v>2.9010803673467351</v>
      </c>
    </row>
    <row r="1028" spans="1:6" x14ac:dyDescent="0.3">
      <c r="A1028">
        <v>5.5254521004599155E-2</v>
      </c>
      <c r="F1028">
        <f t="shared" si="23"/>
        <v>2.8965105211987257</v>
      </c>
    </row>
    <row r="1029" spans="1:6" x14ac:dyDescent="0.3">
      <c r="A1029">
        <v>5.5284260233065652E-2</v>
      </c>
      <c r="F1029">
        <f t="shared" si="23"/>
        <v>2.8961311161362371</v>
      </c>
    </row>
    <row r="1030" spans="1:6" x14ac:dyDescent="0.3">
      <c r="A1030">
        <v>5.5677954397992835E-2</v>
      </c>
      <c r="F1030">
        <f t="shared" si="23"/>
        <v>2.8910963711266766</v>
      </c>
    </row>
    <row r="1031" spans="1:6" x14ac:dyDescent="0.3">
      <c r="A1031">
        <v>5.624947224009702E-2</v>
      </c>
      <c r="F1031">
        <f t="shared" si="23"/>
        <v>2.8837477124962585</v>
      </c>
    </row>
    <row r="1032" spans="1:6" x14ac:dyDescent="0.3">
      <c r="A1032">
        <v>5.6474882624865441E-2</v>
      </c>
      <c r="F1032">
        <f t="shared" si="23"/>
        <v>2.8808364724846731</v>
      </c>
    </row>
    <row r="1033" spans="1:6" x14ac:dyDescent="0.3">
      <c r="A1033">
        <v>5.7101302422687183E-2</v>
      </c>
      <c r="F1033">
        <f t="shared" si="23"/>
        <v>2.8727081270096648</v>
      </c>
    </row>
    <row r="1034" spans="1:6" x14ac:dyDescent="0.3">
      <c r="A1034">
        <v>5.7626861092302306E-2</v>
      </c>
      <c r="F1034">
        <f t="shared" si="23"/>
        <v>2.8658458208834694</v>
      </c>
    </row>
    <row r="1035" spans="1:6" x14ac:dyDescent="0.3">
      <c r="A1035">
        <v>5.7673741321223826E-2</v>
      </c>
      <c r="F1035">
        <f t="shared" si="23"/>
        <v>2.8652318174974014</v>
      </c>
    </row>
    <row r="1036" spans="1:6" x14ac:dyDescent="0.3">
      <c r="A1036">
        <v>5.77451207507238E-2</v>
      </c>
      <c r="F1036">
        <f t="shared" si="23"/>
        <v>2.864296351984609</v>
      </c>
    </row>
    <row r="1037" spans="1:6" x14ac:dyDescent="0.3">
      <c r="A1037">
        <v>5.7763498798998114E-2</v>
      </c>
      <c r="F1037">
        <f t="shared" si="23"/>
        <v>2.8640553827912481</v>
      </c>
    </row>
    <row r="1038" spans="1:6" x14ac:dyDescent="0.3">
      <c r="A1038">
        <v>5.7778421059055063E-2</v>
      </c>
      <c r="F1038">
        <f t="shared" si="23"/>
        <v>2.8638596905425291</v>
      </c>
    </row>
    <row r="1039" spans="1:6" x14ac:dyDescent="0.3">
      <c r="A1039">
        <v>5.8808489060083957E-2</v>
      </c>
      <c r="F1039">
        <f t="shared" si="23"/>
        <v>2.8502766927247025</v>
      </c>
    </row>
    <row r="1040" spans="1:6" x14ac:dyDescent="0.3">
      <c r="A1040">
        <v>5.9379489770094551E-2</v>
      </c>
      <c r="F1040">
        <f t="shared" si="23"/>
        <v>2.8426844677510767</v>
      </c>
    </row>
    <row r="1041" spans="1:6" x14ac:dyDescent="0.3">
      <c r="A1041">
        <v>5.9640875367290236E-2</v>
      </c>
      <c r="F1041">
        <f t="shared" si="23"/>
        <v>2.8391942343620187</v>
      </c>
    </row>
    <row r="1042" spans="1:6" x14ac:dyDescent="0.3">
      <c r="A1042">
        <v>5.9893991738590557E-2</v>
      </c>
      <c r="F1042">
        <f t="shared" si="23"/>
        <v>2.8358056430651772</v>
      </c>
    </row>
    <row r="1043" spans="1:6" x14ac:dyDescent="0.3">
      <c r="A1043">
        <v>5.9962117887380373E-2</v>
      </c>
      <c r="F1043">
        <f t="shared" si="23"/>
        <v>2.8348921359664705</v>
      </c>
    </row>
    <row r="1044" spans="1:6" x14ac:dyDescent="0.3">
      <c r="A1044">
        <v>5.9987977190985475E-2</v>
      </c>
      <c r="F1044">
        <f t="shared" si="23"/>
        <v>2.8345452243806037</v>
      </c>
    </row>
    <row r="1045" spans="1:6" x14ac:dyDescent="0.3">
      <c r="A1045">
        <v>6.0442294455924639E-2</v>
      </c>
      <c r="F1045">
        <f t="shared" si="23"/>
        <v>2.8284358340594284</v>
      </c>
    </row>
    <row r="1046" spans="1:6" x14ac:dyDescent="0.3">
      <c r="A1046">
        <v>6.0549175223968632E-2</v>
      </c>
      <c r="F1046">
        <f t="shared" si="23"/>
        <v>2.8269945744817093</v>
      </c>
    </row>
    <row r="1047" spans="1:6" x14ac:dyDescent="0.3">
      <c r="A1047">
        <v>6.0801124219587166E-2</v>
      </c>
      <c r="F1047">
        <f t="shared" si="23"/>
        <v>2.8235911239326619</v>
      </c>
    </row>
    <row r="1048" spans="1:6" x14ac:dyDescent="0.3">
      <c r="A1048">
        <v>6.1656428437913746E-2</v>
      </c>
      <c r="F1048">
        <f t="shared" si="23"/>
        <v>2.8119750600251967</v>
      </c>
    </row>
    <row r="1049" spans="1:6" x14ac:dyDescent="0.3">
      <c r="A1049">
        <v>6.2275713267240462E-2</v>
      </c>
      <c r="F1049">
        <f t="shared" si="23"/>
        <v>2.8035051151133819</v>
      </c>
    </row>
    <row r="1050" spans="1:6" x14ac:dyDescent="0.3">
      <c r="A1050">
        <v>6.2686476291901272E-2</v>
      </c>
      <c r="F1050">
        <f t="shared" si="23"/>
        <v>2.7978599752843376</v>
      </c>
    </row>
    <row r="1051" spans="1:6" x14ac:dyDescent="0.3">
      <c r="A1051">
        <v>6.2817689103894736E-2</v>
      </c>
      <c r="F1051">
        <f t="shared" si="23"/>
        <v>2.7960521829073799</v>
      </c>
    </row>
    <row r="1052" spans="1:6" x14ac:dyDescent="0.3">
      <c r="A1052">
        <v>6.3165866835220186E-2</v>
      </c>
      <c r="F1052">
        <f t="shared" si="23"/>
        <v>2.7912445805693538</v>
      </c>
    </row>
    <row r="1053" spans="1:6" x14ac:dyDescent="0.3">
      <c r="A1053">
        <v>6.3305796007227855E-2</v>
      </c>
      <c r="F1053">
        <f t="shared" si="23"/>
        <v>2.7893081486356617</v>
      </c>
    </row>
    <row r="1054" spans="1:6" x14ac:dyDescent="0.3">
      <c r="A1054">
        <v>6.3473837187075333E-2</v>
      </c>
      <c r="F1054">
        <f t="shared" si="23"/>
        <v>2.7869794372744137</v>
      </c>
    </row>
    <row r="1055" spans="1:6" x14ac:dyDescent="0.3">
      <c r="A1055">
        <v>6.4403269581905509E-2</v>
      </c>
      <c r="F1055">
        <f t="shared" si="23"/>
        <v>2.7740359211805745</v>
      </c>
    </row>
    <row r="1056" spans="1:6" x14ac:dyDescent="0.3">
      <c r="A1056">
        <v>6.519004944379958E-2</v>
      </c>
      <c r="F1056">
        <f t="shared" si="23"/>
        <v>2.7629961008964372</v>
      </c>
    </row>
    <row r="1057" spans="1:6" x14ac:dyDescent="0.3">
      <c r="A1057">
        <v>6.5442852111398775E-2</v>
      </c>
      <c r="F1057">
        <f t="shared" si="23"/>
        <v>2.7594329446844568</v>
      </c>
    </row>
    <row r="1058" spans="1:6" x14ac:dyDescent="0.3">
      <c r="A1058">
        <v>6.5657962169465595E-2</v>
      </c>
      <c r="F1058">
        <f t="shared" si="23"/>
        <v>2.7563950093054319</v>
      </c>
    </row>
    <row r="1059" spans="1:6" x14ac:dyDescent="0.3">
      <c r="A1059">
        <v>6.594647557683686E-2</v>
      </c>
      <c r="F1059">
        <f t="shared" si="23"/>
        <v>2.7523117453317099</v>
      </c>
    </row>
    <row r="1060" spans="1:6" x14ac:dyDescent="0.3">
      <c r="A1060">
        <v>6.6173079431351312E-2</v>
      </c>
      <c r="F1060">
        <f t="shared" si="23"/>
        <v>2.7490977407905102</v>
      </c>
    </row>
    <row r="1061" spans="1:6" x14ac:dyDescent="0.3">
      <c r="A1061">
        <v>6.6463221313711074E-2</v>
      </c>
      <c r="F1061">
        <f t="shared" si="23"/>
        <v>2.7449737013697755</v>
      </c>
    </row>
    <row r="1062" spans="1:6" x14ac:dyDescent="0.3">
      <c r="A1062">
        <v>6.6619508113205939E-2</v>
      </c>
      <c r="F1062">
        <f t="shared" si="23"/>
        <v>2.7427481617962703</v>
      </c>
    </row>
    <row r="1063" spans="1:6" x14ac:dyDescent="0.3">
      <c r="A1063">
        <v>6.7914034369891851E-2</v>
      </c>
      <c r="F1063">
        <f t="shared" si="23"/>
        <v>2.7242050521295305</v>
      </c>
    </row>
    <row r="1064" spans="1:6" x14ac:dyDescent="0.3">
      <c r="A1064">
        <v>6.8063726186323947E-2</v>
      </c>
      <c r="F1064">
        <f t="shared" si="23"/>
        <v>2.722048441504243</v>
      </c>
    </row>
    <row r="1065" spans="1:6" x14ac:dyDescent="0.3">
      <c r="A1065">
        <v>6.8175102226774698E-2</v>
      </c>
      <c r="F1065">
        <f t="shared" si="23"/>
        <v>2.7204421998217896</v>
      </c>
    </row>
    <row r="1066" spans="1:6" x14ac:dyDescent="0.3">
      <c r="A1066">
        <v>6.8339841019550818E-2</v>
      </c>
      <c r="F1066">
        <f t="shared" si="23"/>
        <v>2.7180638043382457</v>
      </c>
    </row>
    <row r="1067" spans="1:6" x14ac:dyDescent="0.3">
      <c r="A1067">
        <v>6.858319651922784E-2</v>
      </c>
      <c r="F1067">
        <f t="shared" si="23"/>
        <v>2.7145448069150455</v>
      </c>
    </row>
    <row r="1068" spans="1:6" x14ac:dyDescent="0.3">
      <c r="A1068">
        <v>7.0244855648720961E-2</v>
      </c>
      <c r="F1068">
        <f t="shared" si="23"/>
        <v>2.6903415870476994</v>
      </c>
    </row>
    <row r="1069" spans="1:6" x14ac:dyDescent="0.3">
      <c r="A1069">
        <v>7.0734807492726759E-2</v>
      </c>
      <c r="F1069">
        <f t="shared" si="23"/>
        <v>2.6831478867196554</v>
      </c>
    </row>
    <row r="1070" spans="1:6" x14ac:dyDescent="0.3">
      <c r="A1070">
        <v>7.1132105831444137E-2</v>
      </c>
      <c r="F1070">
        <f t="shared" si="23"/>
        <v>2.6772958309173092</v>
      </c>
    </row>
    <row r="1071" spans="1:6" x14ac:dyDescent="0.3">
      <c r="A1071">
        <v>7.1785724634811254E-2</v>
      </c>
      <c r="F1071">
        <f t="shared" si="23"/>
        <v>2.6676322230582072</v>
      </c>
    </row>
    <row r="1072" spans="1:6" x14ac:dyDescent="0.3">
      <c r="A1072">
        <v>7.2715514922805369E-2</v>
      </c>
      <c r="F1072">
        <f t="shared" si="23"/>
        <v>2.6538095021903056</v>
      </c>
    </row>
    <row r="1073" spans="1:6" x14ac:dyDescent="0.3">
      <c r="A1073">
        <v>7.3140410338055517E-2</v>
      </c>
      <c r="F1073">
        <f t="shared" si="23"/>
        <v>2.6474636007735373</v>
      </c>
    </row>
    <row r="1074" spans="1:6" x14ac:dyDescent="0.3">
      <c r="A1074">
        <v>7.3316958571188154E-2</v>
      </c>
      <c r="F1074">
        <f t="shared" si="23"/>
        <v>2.6448215018016517</v>
      </c>
    </row>
    <row r="1075" spans="1:6" x14ac:dyDescent="0.3">
      <c r="A1075">
        <v>7.3968711860731062E-2</v>
      </c>
      <c r="F1075">
        <f t="shared" si="23"/>
        <v>2.6350410918250131</v>
      </c>
    </row>
    <row r="1076" spans="1:6" x14ac:dyDescent="0.3">
      <c r="A1076">
        <v>7.6775037961139936E-2</v>
      </c>
      <c r="F1076">
        <f t="shared" si="23"/>
        <v>2.5924637689565366</v>
      </c>
    </row>
    <row r="1077" spans="1:6" x14ac:dyDescent="0.3">
      <c r="A1077">
        <v>7.7500416585166931E-2</v>
      </c>
      <c r="F1077">
        <f t="shared" si="23"/>
        <v>2.5813404582644055</v>
      </c>
    </row>
    <row r="1078" spans="1:6" x14ac:dyDescent="0.3">
      <c r="A1078">
        <v>7.874695881145044E-2</v>
      </c>
      <c r="F1078">
        <f t="shared" si="23"/>
        <v>2.562117427032482</v>
      </c>
    </row>
    <row r="1079" spans="1:6" x14ac:dyDescent="0.3">
      <c r="A1079">
        <v>7.9278444809574466E-2</v>
      </c>
      <c r="F1079">
        <f t="shared" si="23"/>
        <v>2.5538808908526884</v>
      </c>
    </row>
    <row r="1080" spans="1:6" x14ac:dyDescent="0.3">
      <c r="A1080">
        <v>7.9313654592510829E-2</v>
      </c>
      <c r="F1080">
        <f t="shared" si="23"/>
        <v>2.5533344004564569</v>
      </c>
    </row>
    <row r="1081" spans="1:6" x14ac:dyDescent="0.3">
      <c r="A1081">
        <v>8.0832370354000815E-2</v>
      </c>
      <c r="F1081">
        <f t="shared" si="23"/>
        <v>2.5296655255779106</v>
      </c>
    </row>
    <row r="1082" spans="1:6" x14ac:dyDescent="0.3">
      <c r="A1082">
        <v>8.1648912111188299E-2</v>
      </c>
      <c r="F1082">
        <f t="shared" si="23"/>
        <v>2.5168635938865189</v>
      </c>
    </row>
    <row r="1083" spans="1:6" x14ac:dyDescent="0.3">
      <c r="A1083">
        <v>8.1827741604854509E-2</v>
      </c>
      <c r="F1083">
        <f t="shared" si="23"/>
        <v>2.5140529405245053</v>
      </c>
    </row>
    <row r="1084" spans="1:6" x14ac:dyDescent="0.3">
      <c r="A1084">
        <v>8.1845945964621691E-2</v>
      </c>
      <c r="F1084">
        <f t="shared" si="23"/>
        <v>2.5137666857137968</v>
      </c>
    </row>
    <row r="1085" spans="1:6" x14ac:dyDescent="0.3">
      <c r="A1085">
        <v>8.2617280286948092E-2</v>
      </c>
      <c r="F1085">
        <f t="shared" si="23"/>
        <v>2.5016146757161968</v>
      </c>
    </row>
    <row r="1086" spans="1:6" x14ac:dyDescent="0.3">
      <c r="A1086">
        <v>8.2923640896410689E-2</v>
      </c>
      <c r="F1086">
        <f t="shared" si="23"/>
        <v>2.4967757194831206</v>
      </c>
    </row>
    <row r="1087" spans="1:6" x14ac:dyDescent="0.3">
      <c r="A1087">
        <v>8.2962188079022781E-2</v>
      </c>
      <c r="F1087">
        <f t="shared" si="23"/>
        <v>2.4961663756667445</v>
      </c>
    </row>
    <row r="1088" spans="1:6" x14ac:dyDescent="0.3">
      <c r="A1088">
        <v>8.3083405463369786E-2</v>
      </c>
      <c r="F1088">
        <f t="shared" si="23"/>
        <v>2.4942494898006502</v>
      </c>
    </row>
    <row r="1089" spans="1:6" x14ac:dyDescent="0.3">
      <c r="A1089">
        <v>8.4264347114185512E-2</v>
      </c>
      <c r="F1089">
        <f t="shared" si="23"/>
        <v>2.4755188226955007</v>
      </c>
    </row>
    <row r="1090" spans="1:6" x14ac:dyDescent="0.3">
      <c r="A1090">
        <v>8.5325390894013253E-2</v>
      </c>
      <c r="F1090">
        <f t="shared" si="23"/>
        <v>2.4586061608258327</v>
      </c>
    </row>
    <row r="1091" spans="1:6" x14ac:dyDescent="0.3">
      <c r="A1091">
        <v>8.7169546056145464E-2</v>
      </c>
      <c r="F1091">
        <f t="shared" ref="F1091:F1154" si="24">_xlfn.NORM.DIST(A1091,$J$6,$K$6,FALSE)</f>
        <v>2.4290322607436781</v>
      </c>
    </row>
    <row r="1092" spans="1:6" x14ac:dyDescent="0.3">
      <c r="A1092">
        <v>8.7993404825610355E-2</v>
      </c>
      <c r="F1092">
        <f t="shared" si="24"/>
        <v>2.4157507130044173</v>
      </c>
    </row>
    <row r="1093" spans="1:6" x14ac:dyDescent="0.3">
      <c r="A1093">
        <v>8.9110884305100058E-2</v>
      </c>
      <c r="F1093">
        <f t="shared" si="24"/>
        <v>2.3976705159508178</v>
      </c>
    </row>
    <row r="1094" spans="1:6" x14ac:dyDescent="0.3">
      <c r="A1094">
        <v>9.0860263241254319E-2</v>
      </c>
      <c r="F1094">
        <f t="shared" si="24"/>
        <v>2.3692240984492035</v>
      </c>
    </row>
    <row r="1095" spans="1:6" x14ac:dyDescent="0.3">
      <c r="A1095">
        <v>9.1655789179185376E-2</v>
      </c>
      <c r="F1095">
        <f t="shared" si="24"/>
        <v>2.3562339214673713</v>
      </c>
    </row>
    <row r="1096" spans="1:6" x14ac:dyDescent="0.3">
      <c r="A1096">
        <v>9.1874423944375394E-2</v>
      </c>
      <c r="F1096">
        <f t="shared" si="24"/>
        <v>2.3526581540936267</v>
      </c>
    </row>
    <row r="1097" spans="1:6" x14ac:dyDescent="0.3">
      <c r="A1097">
        <v>9.2805865406035082E-2</v>
      </c>
      <c r="F1097">
        <f t="shared" si="24"/>
        <v>2.3373979619847187</v>
      </c>
    </row>
    <row r="1098" spans="1:6" x14ac:dyDescent="0.3">
      <c r="A1098">
        <v>9.331486572796166E-2</v>
      </c>
      <c r="F1098">
        <f t="shared" si="24"/>
        <v>2.3290412029227872</v>
      </c>
    </row>
    <row r="1099" spans="1:6" x14ac:dyDescent="0.3">
      <c r="A1099">
        <v>9.4316830261394202E-2</v>
      </c>
      <c r="F1099">
        <f t="shared" si="24"/>
        <v>2.3125562457474405</v>
      </c>
    </row>
    <row r="1100" spans="1:6" x14ac:dyDescent="0.3">
      <c r="A1100">
        <v>9.6722778644495744E-2</v>
      </c>
      <c r="F1100">
        <f t="shared" si="24"/>
        <v>2.2727979659004713</v>
      </c>
    </row>
    <row r="1101" spans="1:6" x14ac:dyDescent="0.3">
      <c r="A1101">
        <v>9.7773847550001847E-2</v>
      </c>
      <c r="F1101">
        <f t="shared" si="24"/>
        <v>2.2553589151253934</v>
      </c>
    </row>
    <row r="1102" spans="1:6" x14ac:dyDescent="0.3">
      <c r="A1102">
        <v>9.8310346736219856E-2</v>
      </c>
      <c r="F1102">
        <f t="shared" si="24"/>
        <v>2.2464424864020316</v>
      </c>
    </row>
    <row r="1103" spans="1:6" x14ac:dyDescent="0.3">
      <c r="A1103">
        <v>9.8719493097353533E-2</v>
      </c>
      <c r="F1103">
        <f t="shared" si="24"/>
        <v>2.2396361431392138</v>
      </c>
    </row>
    <row r="1104" spans="1:6" x14ac:dyDescent="0.3">
      <c r="A1104">
        <v>9.9028834098476182E-2</v>
      </c>
      <c r="F1104">
        <f t="shared" si="24"/>
        <v>2.2344865093967239</v>
      </c>
    </row>
    <row r="1105" spans="1:6" x14ac:dyDescent="0.3">
      <c r="A1105">
        <v>9.9966841932882744E-2</v>
      </c>
      <c r="F1105">
        <f t="shared" si="24"/>
        <v>2.2188532641449545</v>
      </c>
    </row>
    <row r="1106" spans="1:6" x14ac:dyDescent="0.3">
      <c r="A1106">
        <v>0.10031191975070897</v>
      </c>
      <c r="F1106">
        <f t="shared" si="24"/>
        <v>2.2130954879652043</v>
      </c>
    </row>
    <row r="1107" spans="1:6" x14ac:dyDescent="0.3">
      <c r="A1107">
        <v>0.10439804379126694</v>
      </c>
      <c r="F1107">
        <f t="shared" si="24"/>
        <v>2.144689429109675</v>
      </c>
    </row>
    <row r="1108" spans="1:6" x14ac:dyDescent="0.3">
      <c r="A1108">
        <v>0.10496048983620909</v>
      </c>
      <c r="F1108">
        <f t="shared" si="24"/>
        <v>2.1352461250841133</v>
      </c>
    </row>
    <row r="1109" spans="1:6" x14ac:dyDescent="0.3">
      <c r="A1109">
        <v>0.10708500298200888</v>
      </c>
      <c r="F1109">
        <f t="shared" si="24"/>
        <v>2.0995324294341318</v>
      </c>
    </row>
    <row r="1110" spans="1:6" x14ac:dyDescent="0.3">
      <c r="A1110">
        <v>0.10809386679068211</v>
      </c>
      <c r="F1110">
        <f t="shared" si="24"/>
        <v>2.0825536779487379</v>
      </c>
    </row>
    <row r="1111" spans="1:6" x14ac:dyDescent="0.3">
      <c r="A1111">
        <v>0.10870183426794711</v>
      </c>
      <c r="F1111">
        <f t="shared" si="24"/>
        <v>2.0723172845187712</v>
      </c>
    </row>
    <row r="1112" spans="1:6" x14ac:dyDescent="0.3">
      <c r="A1112">
        <v>0.10872512268122136</v>
      </c>
      <c r="F1112">
        <f t="shared" si="24"/>
        <v>2.0719251173258018</v>
      </c>
    </row>
    <row r="1113" spans="1:6" x14ac:dyDescent="0.3">
      <c r="A1113">
        <v>0.11067758193507871</v>
      </c>
      <c r="F1113">
        <f t="shared" si="24"/>
        <v>2.0390351636456496</v>
      </c>
    </row>
    <row r="1114" spans="1:6" x14ac:dyDescent="0.3">
      <c r="A1114">
        <v>0.11124239680621059</v>
      </c>
      <c r="F1114">
        <f t="shared" si="24"/>
        <v>2.0295178842910797</v>
      </c>
    </row>
    <row r="1115" spans="1:6" x14ac:dyDescent="0.3">
      <c r="A1115">
        <v>0.11144215840520744</v>
      </c>
      <c r="F1115">
        <f t="shared" si="24"/>
        <v>2.0261517176384078</v>
      </c>
    </row>
    <row r="1116" spans="1:6" x14ac:dyDescent="0.3">
      <c r="A1116">
        <v>0.11242278926852123</v>
      </c>
      <c r="F1116">
        <f t="shared" si="24"/>
        <v>2.0096269851298421</v>
      </c>
    </row>
    <row r="1117" spans="1:6" x14ac:dyDescent="0.3">
      <c r="A1117">
        <v>0.11257448574156115</v>
      </c>
      <c r="F1117">
        <f t="shared" si="24"/>
        <v>2.0070707886980754</v>
      </c>
    </row>
    <row r="1118" spans="1:6" x14ac:dyDescent="0.3">
      <c r="A1118">
        <v>0.11312034003890403</v>
      </c>
      <c r="F1118">
        <f t="shared" si="24"/>
        <v>1.9978731259927502</v>
      </c>
    </row>
    <row r="1119" spans="1:6" x14ac:dyDescent="0.3">
      <c r="A1119">
        <v>0.11425422263609164</v>
      </c>
      <c r="F1119">
        <f t="shared" si="24"/>
        <v>1.9787704238132382</v>
      </c>
    </row>
    <row r="1120" spans="1:6" x14ac:dyDescent="0.3">
      <c r="A1120">
        <v>0.11529368057014722</v>
      </c>
      <c r="F1120">
        <f t="shared" si="24"/>
        <v>1.9612647343970921</v>
      </c>
    </row>
    <row r="1121" spans="1:6" x14ac:dyDescent="0.3">
      <c r="A1121">
        <v>0.11539535604310913</v>
      </c>
      <c r="F1121">
        <f t="shared" si="24"/>
        <v>1.9595528209198336</v>
      </c>
    </row>
    <row r="1122" spans="1:6" x14ac:dyDescent="0.3">
      <c r="A1122">
        <v>0.11612675135630517</v>
      </c>
      <c r="F1122">
        <f t="shared" si="24"/>
        <v>1.9472409344393398</v>
      </c>
    </row>
    <row r="1123" spans="1:6" x14ac:dyDescent="0.3">
      <c r="A1123">
        <v>0.1162535752266769</v>
      </c>
      <c r="F1123">
        <f t="shared" si="24"/>
        <v>1.9451065660166478</v>
      </c>
    </row>
    <row r="1124" spans="1:6" x14ac:dyDescent="0.3">
      <c r="A1124">
        <v>0.11625651128846304</v>
      </c>
      <c r="F1124">
        <f t="shared" si="24"/>
        <v>1.9450571558004139</v>
      </c>
    </row>
    <row r="1125" spans="1:6" x14ac:dyDescent="0.3">
      <c r="A1125">
        <v>0.1163072653830568</v>
      </c>
      <c r="F1125">
        <f t="shared" si="24"/>
        <v>1.944203042283875</v>
      </c>
    </row>
    <row r="1126" spans="1:6" x14ac:dyDescent="0.3">
      <c r="A1126">
        <v>0.11648852361008721</v>
      </c>
      <c r="F1126">
        <f t="shared" si="24"/>
        <v>1.9411529623211721</v>
      </c>
    </row>
    <row r="1127" spans="1:6" x14ac:dyDescent="0.3">
      <c r="A1127">
        <v>0.11726775783358789</v>
      </c>
      <c r="F1127">
        <f t="shared" si="24"/>
        <v>1.9280447427868297</v>
      </c>
    </row>
    <row r="1128" spans="1:6" x14ac:dyDescent="0.3">
      <c r="A1128">
        <v>0.11730561092701919</v>
      </c>
      <c r="F1128">
        <f t="shared" si="24"/>
        <v>1.9274081643555427</v>
      </c>
    </row>
    <row r="1129" spans="1:6" x14ac:dyDescent="0.3">
      <c r="A1129">
        <v>0.11795583925061237</v>
      </c>
      <c r="F1129">
        <f t="shared" si="24"/>
        <v>1.9164761221510198</v>
      </c>
    </row>
    <row r="1130" spans="1:6" x14ac:dyDescent="0.3">
      <c r="A1130">
        <v>0.11831022585749906</v>
      </c>
      <c r="F1130">
        <f t="shared" si="24"/>
        <v>1.9105203984442887</v>
      </c>
    </row>
    <row r="1131" spans="1:6" x14ac:dyDescent="0.3">
      <c r="A1131">
        <v>0.11893014329393736</v>
      </c>
      <c r="F1131">
        <f t="shared" si="24"/>
        <v>1.900106745045359</v>
      </c>
    </row>
    <row r="1132" spans="1:6" x14ac:dyDescent="0.3">
      <c r="A1132">
        <v>0.1202875709046225</v>
      </c>
      <c r="F1132">
        <f t="shared" si="24"/>
        <v>1.8773263898068018</v>
      </c>
    </row>
    <row r="1133" spans="1:6" x14ac:dyDescent="0.3">
      <c r="A1133">
        <v>0.12099239698420661</v>
      </c>
      <c r="F1133">
        <f t="shared" si="24"/>
        <v>1.8655115039459145</v>
      </c>
    </row>
    <row r="1134" spans="1:6" x14ac:dyDescent="0.3">
      <c r="A1134">
        <v>0.12139516424468866</v>
      </c>
      <c r="F1134">
        <f t="shared" si="24"/>
        <v>1.8587645234713719</v>
      </c>
    </row>
    <row r="1135" spans="1:6" x14ac:dyDescent="0.3">
      <c r="A1135">
        <v>0.1228091042847268</v>
      </c>
      <c r="F1135">
        <f t="shared" si="24"/>
        <v>1.8351072844453742</v>
      </c>
    </row>
    <row r="1136" spans="1:6" x14ac:dyDescent="0.3">
      <c r="A1136">
        <v>0.12292048135749667</v>
      </c>
      <c r="F1136">
        <f t="shared" si="24"/>
        <v>1.8332457852221791</v>
      </c>
    </row>
    <row r="1137" spans="1:6" x14ac:dyDescent="0.3">
      <c r="A1137">
        <v>0.12292180456302049</v>
      </c>
      <c r="F1137">
        <f t="shared" si="24"/>
        <v>1.8332236716787094</v>
      </c>
    </row>
    <row r="1138" spans="1:6" x14ac:dyDescent="0.3">
      <c r="A1138">
        <v>0.12379453275619312</v>
      </c>
      <c r="F1138">
        <f t="shared" si="24"/>
        <v>1.8186481969524997</v>
      </c>
    </row>
    <row r="1139" spans="1:6" x14ac:dyDescent="0.3">
      <c r="A1139">
        <v>0.12692207745794803</v>
      </c>
      <c r="F1139">
        <f t="shared" si="24"/>
        <v>1.7665904331638917</v>
      </c>
    </row>
    <row r="1140" spans="1:6" x14ac:dyDescent="0.3">
      <c r="A1140">
        <v>0.12806776036018164</v>
      </c>
      <c r="F1140">
        <f t="shared" si="24"/>
        <v>1.7475978678906952</v>
      </c>
    </row>
    <row r="1141" spans="1:6" x14ac:dyDescent="0.3">
      <c r="A1141">
        <v>0.12992912538561541</v>
      </c>
      <c r="F1141">
        <f t="shared" si="24"/>
        <v>1.7168408142506608</v>
      </c>
    </row>
    <row r="1142" spans="1:6" x14ac:dyDescent="0.3">
      <c r="A1142">
        <v>0.13079053380488403</v>
      </c>
      <c r="F1142">
        <f t="shared" si="24"/>
        <v>1.7026517095386444</v>
      </c>
    </row>
    <row r="1143" spans="1:6" x14ac:dyDescent="0.3">
      <c r="A1143">
        <v>0.13137835988300139</v>
      </c>
      <c r="F1143">
        <f t="shared" si="24"/>
        <v>1.6929862025837492</v>
      </c>
    </row>
    <row r="1144" spans="1:6" x14ac:dyDescent="0.3">
      <c r="A1144">
        <v>0.13236190136899495</v>
      </c>
      <c r="F1144">
        <f t="shared" si="24"/>
        <v>1.676846332727602</v>
      </c>
    </row>
    <row r="1145" spans="1:6" x14ac:dyDescent="0.3">
      <c r="A1145">
        <v>0.13341172318621375</v>
      </c>
      <c r="F1145">
        <f t="shared" si="24"/>
        <v>1.6596651706919474</v>
      </c>
    </row>
    <row r="1146" spans="1:6" x14ac:dyDescent="0.3">
      <c r="A1146">
        <v>0.13718382659823192</v>
      </c>
      <c r="F1146">
        <f t="shared" si="24"/>
        <v>1.5983589007473422</v>
      </c>
    </row>
    <row r="1147" spans="1:6" x14ac:dyDescent="0.3">
      <c r="A1147">
        <v>0.14123986390237775</v>
      </c>
      <c r="F1147">
        <f t="shared" si="24"/>
        <v>1.5332661940867955</v>
      </c>
    </row>
    <row r="1148" spans="1:6" x14ac:dyDescent="0.3">
      <c r="A1148">
        <v>0.14485174610331453</v>
      </c>
      <c r="F1148">
        <f t="shared" si="24"/>
        <v>1.4761119238438687</v>
      </c>
    </row>
    <row r="1149" spans="1:6" x14ac:dyDescent="0.3">
      <c r="A1149">
        <v>0.14525858892454835</v>
      </c>
      <c r="F1149">
        <f t="shared" si="24"/>
        <v>1.4697253875885092</v>
      </c>
    </row>
    <row r="1150" spans="1:6" x14ac:dyDescent="0.3">
      <c r="A1150">
        <v>0.14725512764670157</v>
      </c>
      <c r="F1150">
        <f t="shared" si="24"/>
        <v>1.4385420211676208</v>
      </c>
    </row>
    <row r="1151" spans="1:6" x14ac:dyDescent="0.3">
      <c r="A1151">
        <v>0.14854526623014408</v>
      </c>
      <c r="F1151">
        <f t="shared" si="24"/>
        <v>1.4185350403756369</v>
      </c>
    </row>
    <row r="1152" spans="1:6" x14ac:dyDescent="0.3">
      <c r="A1152">
        <v>0.14951966914588866</v>
      </c>
      <c r="F1152">
        <f t="shared" si="24"/>
        <v>1.4035011778705888</v>
      </c>
    </row>
    <row r="1153" spans="1:6" x14ac:dyDescent="0.3">
      <c r="A1153">
        <v>0.15113906712615233</v>
      </c>
      <c r="F1153">
        <f t="shared" si="24"/>
        <v>1.3786657732643772</v>
      </c>
    </row>
    <row r="1154" spans="1:6" x14ac:dyDescent="0.3">
      <c r="A1154">
        <v>0.15420637067268217</v>
      </c>
      <c r="F1154">
        <f t="shared" si="24"/>
        <v>1.3321561758036247</v>
      </c>
    </row>
    <row r="1155" spans="1:6" x14ac:dyDescent="0.3">
      <c r="A1155">
        <v>0.15474081968397968</v>
      </c>
      <c r="F1155">
        <f t="shared" ref="F1155:F1189" si="25">_xlfn.NORM.DIST(A1155,$J$6,$K$6,FALSE)</f>
        <v>1.3241255797137477</v>
      </c>
    </row>
    <row r="1156" spans="1:6" x14ac:dyDescent="0.3">
      <c r="A1156">
        <v>0.15516782246606908</v>
      </c>
      <c r="F1156">
        <f t="shared" si="25"/>
        <v>1.3177254303174215</v>
      </c>
    </row>
    <row r="1157" spans="1:6" x14ac:dyDescent="0.3">
      <c r="A1157">
        <v>0.1554783882539823</v>
      </c>
      <c r="F1157">
        <f t="shared" si="25"/>
        <v>1.3130794688440535</v>
      </c>
    </row>
    <row r="1158" spans="1:6" x14ac:dyDescent="0.3">
      <c r="A1158">
        <v>0.15693905772116068</v>
      </c>
      <c r="F1158">
        <f t="shared" si="25"/>
        <v>1.2913307377190664</v>
      </c>
    </row>
    <row r="1159" spans="1:6" x14ac:dyDescent="0.3">
      <c r="A1159">
        <v>0.15861617041957743</v>
      </c>
      <c r="F1159">
        <f t="shared" si="25"/>
        <v>1.2665710375411583</v>
      </c>
    </row>
    <row r="1160" spans="1:6" x14ac:dyDescent="0.3">
      <c r="A1160">
        <v>0.17067084435007018</v>
      </c>
      <c r="F1160">
        <f t="shared" si="25"/>
        <v>1.0957011532928147</v>
      </c>
    </row>
    <row r="1161" spans="1:6" x14ac:dyDescent="0.3">
      <c r="A1161">
        <v>0.1712090414077494</v>
      </c>
      <c r="F1161">
        <f t="shared" si="25"/>
        <v>1.0883778657066472</v>
      </c>
    </row>
    <row r="1162" spans="1:6" x14ac:dyDescent="0.3">
      <c r="A1162">
        <v>0.17168465771133867</v>
      </c>
      <c r="F1162">
        <f t="shared" si="25"/>
        <v>1.0819287039495522</v>
      </c>
    </row>
    <row r="1163" spans="1:6" x14ac:dyDescent="0.3">
      <c r="A1163">
        <v>0.17226192270913998</v>
      </c>
      <c r="F1163">
        <f t="shared" si="25"/>
        <v>1.0741298109437702</v>
      </c>
    </row>
    <row r="1164" spans="1:6" x14ac:dyDescent="0.3">
      <c r="A1164">
        <v>0.17579236350911742</v>
      </c>
      <c r="F1164">
        <f t="shared" si="25"/>
        <v>1.0271228189573405</v>
      </c>
    </row>
    <row r="1165" spans="1:6" x14ac:dyDescent="0.3">
      <c r="A1165">
        <v>0.176319750912171</v>
      </c>
      <c r="F1165">
        <f t="shared" si="25"/>
        <v>1.0202035949396864</v>
      </c>
    </row>
    <row r="1166" spans="1:6" x14ac:dyDescent="0.3">
      <c r="A1166">
        <v>0.17964849776571157</v>
      </c>
      <c r="F1166">
        <f t="shared" si="25"/>
        <v>0.97715703534950493</v>
      </c>
    </row>
    <row r="1167" spans="1:6" x14ac:dyDescent="0.3">
      <c r="A1167">
        <v>0.18654247924838785</v>
      </c>
      <c r="F1167">
        <f t="shared" si="25"/>
        <v>0.89150443367144105</v>
      </c>
    </row>
    <row r="1168" spans="1:6" x14ac:dyDescent="0.3">
      <c r="A1168">
        <v>0.1878663377720855</v>
      </c>
      <c r="F1168">
        <f t="shared" si="25"/>
        <v>0.87560514445912296</v>
      </c>
    </row>
    <row r="1169" spans="1:6" x14ac:dyDescent="0.3">
      <c r="A1169">
        <v>0.18791961477269226</v>
      </c>
      <c r="F1169">
        <f t="shared" si="25"/>
        <v>0.87496903180517582</v>
      </c>
    </row>
    <row r="1170" spans="1:6" x14ac:dyDescent="0.3">
      <c r="A1170">
        <v>0.20135488006360447</v>
      </c>
      <c r="F1170">
        <f t="shared" si="25"/>
        <v>0.72386779470628149</v>
      </c>
    </row>
    <row r="1171" spans="1:6" x14ac:dyDescent="0.3">
      <c r="A1171">
        <v>0.20891372735979985</v>
      </c>
      <c r="F1171">
        <f t="shared" si="25"/>
        <v>0.64704969904438481</v>
      </c>
    </row>
    <row r="1172" spans="1:6" x14ac:dyDescent="0.3">
      <c r="A1172">
        <v>0.21797065312279074</v>
      </c>
      <c r="F1172">
        <f t="shared" si="25"/>
        <v>0.56270943771108484</v>
      </c>
    </row>
    <row r="1173" spans="1:6" x14ac:dyDescent="0.3">
      <c r="A1173">
        <v>0.21858802565532187</v>
      </c>
      <c r="F1173">
        <f t="shared" si="25"/>
        <v>0.55726194708005206</v>
      </c>
    </row>
    <row r="1174" spans="1:6" x14ac:dyDescent="0.3">
      <c r="A1174">
        <v>0.23877928207447496</v>
      </c>
      <c r="F1174">
        <f t="shared" si="25"/>
        <v>0.39951454448630225</v>
      </c>
    </row>
    <row r="1175" spans="1:6" x14ac:dyDescent="0.3">
      <c r="A1175">
        <v>0.24355563781261935</v>
      </c>
      <c r="F1175">
        <f t="shared" si="25"/>
        <v>0.36773972438747782</v>
      </c>
    </row>
    <row r="1176" spans="1:6" x14ac:dyDescent="0.3">
      <c r="A1176">
        <v>0.25832882221551756</v>
      </c>
      <c r="F1176">
        <f t="shared" si="25"/>
        <v>0.28174113854542071</v>
      </c>
    </row>
    <row r="1177" spans="1:6" x14ac:dyDescent="0.3">
      <c r="A1177">
        <v>0.25835140756407782</v>
      </c>
      <c r="F1177">
        <f t="shared" si="25"/>
        <v>0.28162314475035916</v>
      </c>
    </row>
    <row r="1178" spans="1:6" x14ac:dyDescent="0.3">
      <c r="A1178">
        <v>0.25924637652030924</v>
      </c>
      <c r="F1178">
        <f t="shared" si="25"/>
        <v>0.27697915504864778</v>
      </c>
    </row>
    <row r="1179" spans="1:6" x14ac:dyDescent="0.3">
      <c r="A1179">
        <v>0.28787818464140003</v>
      </c>
      <c r="F1179">
        <f t="shared" si="25"/>
        <v>0.15799389415771511</v>
      </c>
    </row>
    <row r="1180" spans="1:6" x14ac:dyDescent="0.3">
      <c r="A1180">
        <v>0.30336109154097812</v>
      </c>
      <c r="F1180">
        <f t="shared" si="25"/>
        <v>0.11388606399561067</v>
      </c>
    </row>
    <row r="1181" spans="1:6" x14ac:dyDescent="0.3">
      <c r="A1181">
        <v>0.30369991260884177</v>
      </c>
      <c r="F1181">
        <f t="shared" si="25"/>
        <v>0.11305202266381344</v>
      </c>
    </row>
    <row r="1182" spans="1:6" x14ac:dyDescent="0.3">
      <c r="A1182">
        <v>0.32148217889383801</v>
      </c>
      <c r="F1182">
        <f t="shared" si="25"/>
        <v>7.6009421723131479E-2</v>
      </c>
    </row>
    <row r="1183" spans="1:6" x14ac:dyDescent="0.3">
      <c r="A1183">
        <v>0.32782961138991595</v>
      </c>
      <c r="F1183">
        <f t="shared" si="25"/>
        <v>6.561583525808995E-2</v>
      </c>
    </row>
    <row r="1184" spans="1:6" x14ac:dyDescent="0.3">
      <c r="A1184">
        <v>0.38556897348757957</v>
      </c>
      <c r="F1184">
        <f t="shared" si="25"/>
        <v>1.5141182509598521E-2</v>
      </c>
    </row>
    <row r="1185" spans="1:6" x14ac:dyDescent="0.3">
      <c r="A1185">
        <v>0.44539361855629522</v>
      </c>
      <c r="F1185">
        <f t="shared" si="25"/>
        <v>2.5938869536138486E-3</v>
      </c>
    </row>
    <row r="1186" spans="1:6" x14ac:dyDescent="0.3">
      <c r="A1186">
        <v>0.46131980409722928</v>
      </c>
      <c r="F1186">
        <f t="shared" si="25"/>
        <v>1.5550025598525569E-3</v>
      </c>
    </row>
    <row r="1187" spans="1:6" x14ac:dyDescent="0.3">
      <c r="A1187">
        <v>0.51808349767566853</v>
      </c>
      <c r="F1187">
        <f t="shared" si="25"/>
        <v>2.1742179154764319E-4</v>
      </c>
    </row>
    <row r="1188" spans="1:6" x14ac:dyDescent="0.3">
      <c r="A1188">
        <v>0.51816850341754161</v>
      </c>
      <c r="F1188">
        <f t="shared" si="25"/>
        <v>2.1674568156747142E-4</v>
      </c>
    </row>
    <row r="1189" spans="1:6" x14ac:dyDescent="0.3">
      <c r="A1189">
        <v>0.51819985798556445</v>
      </c>
      <c r="F1189">
        <f t="shared" si="25"/>
        <v>2.1649680042858165E-4</v>
      </c>
    </row>
  </sheetData>
  <autoFilter ref="B1:B397">
    <sortState ref="B2:B1189">
      <sortCondition ref="B1:B397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input01_CENTER</vt:lpstr>
      <vt:lpstr>input02_ABS2</vt:lpstr>
      <vt:lpstr>answer</vt:lpstr>
      <vt:lpstr>compare</vt:lpstr>
      <vt:lpstr>Deviation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2020-10-14T19:22:34Z</dcterms:created>
  <dcterms:modified xsi:type="dcterms:W3CDTF">2020-10-16T05:07:05Z</dcterms:modified>
</cp:coreProperties>
</file>